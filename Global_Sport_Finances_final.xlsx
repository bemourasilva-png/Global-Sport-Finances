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3AB477-2C1C-4470-B940-749912B66FA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alises" sheetId="1" r:id="rId1"/>
    <sheet name="Salários" sheetId="2" r:id="rId2"/>
    <sheet name="Folhas_de_pagamento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H56" i="1"/>
  <c r="G56" i="1"/>
  <c r="F56" i="1"/>
  <c r="D56" i="1"/>
  <c r="C56" i="1"/>
  <c r="B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D51" i="1"/>
  <c r="C51" i="1"/>
  <c r="B51" i="1"/>
  <c r="H50" i="1"/>
  <c r="G50" i="1"/>
  <c r="F50" i="1"/>
  <c r="D50" i="1"/>
  <c r="C50" i="1"/>
  <c r="B50" i="1"/>
  <c r="H49" i="1"/>
  <c r="G49" i="1"/>
  <c r="F49" i="1"/>
  <c r="D49" i="1"/>
  <c r="C49" i="1"/>
  <c r="B49" i="1"/>
  <c r="H48" i="1"/>
  <c r="G48" i="1"/>
  <c r="F48" i="1"/>
  <c r="D48" i="1"/>
  <c r="C48" i="1"/>
  <c r="B48" i="1"/>
  <c r="H47" i="1"/>
  <c r="G47" i="1"/>
  <c r="F47" i="1"/>
  <c r="D47" i="1"/>
  <c r="C47" i="1"/>
  <c r="B47" i="1"/>
  <c r="H46" i="1"/>
  <c r="G46" i="1"/>
  <c r="F46" i="1"/>
  <c r="D46" i="1"/>
  <c r="C46" i="1"/>
  <c r="B46" i="1"/>
  <c r="H45" i="1"/>
  <c r="G45" i="1"/>
  <c r="F45" i="1"/>
  <c r="D45" i="1"/>
  <c r="C45" i="1"/>
  <c r="B45" i="1"/>
  <c r="H44" i="1"/>
  <c r="G44" i="1"/>
  <c r="F44" i="1"/>
  <c r="D44" i="1"/>
  <c r="C44" i="1"/>
  <c r="B44" i="1"/>
  <c r="H43" i="1"/>
  <c r="G43" i="1"/>
  <c r="F43" i="1"/>
  <c r="D43" i="1"/>
  <c r="C43" i="1"/>
  <c r="B43" i="1"/>
  <c r="H42" i="1"/>
  <c r="G42" i="1"/>
  <c r="F42" i="1"/>
  <c r="D42" i="1"/>
  <c r="C42" i="1"/>
  <c r="B42" i="1"/>
  <c r="H37" i="1"/>
  <c r="G37" i="1"/>
  <c r="F37" i="1"/>
  <c r="C37" i="1"/>
  <c r="H36" i="1"/>
  <c r="G36" i="1"/>
  <c r="F36" i="1"/>
  <c r="C36" i="1"/>
  <c r="H35" i="1"/>
  <c r="G35" i="1"/>
  <c r="F35" i="1"/>
  <c r="C35" i="1"/>
  <c r="H34" i="1"/>
  <c r="G34" i="1"/>
  <c r="F34" i="1"/>
  <c r="C34" i="1"/>
  <c r="L33" i="1"/>
  <c r="K33" i="1"/>
  <c r="H33" i="1"/>
  <c r="G33" i="1"/>
  <c r="F33" i="1"/>
  <c r="C33" i="1"/>
  <c r="L32" i="1"/>
  <c r="K32" i="1"/>
  <c r="H32" i="1"/>
  <c r="G32" i="1"/>
  <c r="F32" i="1"/>
  <c r="C32" i="1"/>
  <c r="L31" i="1"/>
  <c r="K31" i="1"/>
  <c r="H31" i="1"/>
  <c r="G31" i="1"/>
  <c r="F31" i="1"/>
  <c r="C31" i="1"/>
  <c r="L30" i="1"/>
  <c r="K30" i="1"/>
  <c r="H30" i="1"/>
  <c r="G30" i="1"/>
  <c r="F30" i="1"/>
  <c r="C30" i="1"/>
  <c r="L29" i="1"/>
  <c r="K29" i="1"/>
  <c r="H29" i="1"/>
  <c r="G29" i="1"/>
  <c r="F29" i="1"/>
  <c r="C29" i="1"/>
  <c r="H28" i="1"/>
  <c r="G28" i="1"/>
  <c r="F28" i="1"/>
  <c r="C28" i="1"/>
  <c r="H27" i="1"/>
  <c r="G27" i="1"/>
  <c r="F27" i="1"/>
  <c r="C27" i="1"/>
  <c r="H26" i="1"/>
  <c r="G26" i="1"/>
  <c r="F26" i="1"/>
  <c r="C26" i="1"/>
  <c r="H25" i="1"/>
  <c r="G25" i="1"/>
  <c r="F25" i="1"/>
  <c r="C25" i="1"/>
  <c r="L24" i="1"/>
  <c r="K24" i="1"/>
  <c r="H24" i="1"/>
  <c r="G24" i="1"/>
  <c r="F24" i="1"/>
  <c r="C24" i="1"/>
  <c r="L23" i="1"/>
  <c r="K23" i="1"/>
  <c r="H23" i="1"/>
  <c r="G23" i="1"/>
  <c r="F23" i="1"/>
  <c r="C23" i="1"/>
  <c r="D23" i="1" s="1"/>
  <c r="L22" i="1"/>
  <c r="K22" i="1"/>
  <c r="L21" i="1"/>
  <c r="K21" i="1"/>
  <c r="L20" i="1"/>
  <c r="K20" i="1"/>
  <c r="L19" i="1"/>
  <c r="K19" i="1"/>
  <c r="D19" i="1"/>
  <c r="L18" i="1"/>
  <c r="K18" i="1"/>
  <c r="H18" i="1"/>
  <c r="G18" i="1"/>
  <c r="F18" i="1"/>
  <c r="D18" i="1"/>
  <c r="C18" i="1"/>
  <c r="H17" i="1"/>
  <c r="G17" i="1"/>
  <c r="F17" i="1"/>
  <c r="D17" i="1"/>
  <c r="C17" i="1"/>
  <c r="H16" i="1"/>
  <c r="G16" i="1"/>
  <c r="F16" i="1"/>
  <c r="D16" i="1"/>
  <c r="C16" i="1"/>
  <c r="H15" i="1"/>
  <c r="G15" i="1"/>
  <c r="F15" i="1"/>
  <c r="D15" i="1"/>
  <c r="C15" i="1"/>
  <c r="H14" i="1"/>
  <c r="G14" i="1"/>
  <c r="F14" i="1"/>
  <c r="D14" i="1"/>
  <c r="C14" i="1"/>
  <c r="L13" i="1"/>
  <c r="K13" i="1"/>
  <c r="H13" i="1"/>
  <c r="G13" i="1"/>
  <c r="F13" i="1"/>
  <c r="D13" i="1"/>
  <c r="C13" i="1"/>
  <c r="L12" i="1"/>
  <c r="K12" i="1"/>
  <c r="H12" i="1"/>
  <c r="G12" i="1"/>
  <c r="F12" i="1"/>
  <c r="D12" i="1"/>
  <c r="C12" i="1"/>
  <c r="L11" i="1"/>
  <c r="K11" i="1"/>
  <c r="H11" i="1"/>
  <c r="G11" i="1"/>
  <c r="F11" i="1"/>
  <c r="D11" i="1"/>
  <c r="C11" i="1"/>
  <c r="L10" i="1"/>
  <c r="K10" i="1"/>
  <c r="H10" i="1"/>
  <c r="G10" i="1"/>
  <c r="F10" i="1"/>
  <c r="D10" i="1"/>
  <c r="C10" i="1"/>
  <c r="L9" i="1"/>
  <c r="K9" i="1"/>
  <c r="H9" i="1"/>
  <c r="G9" i="1"/>
  <c r="F9" i="1"/>
  <c r="D9" i="1"/>
  <c r="C9" i="1"/>
  <c r="L8" i="1"/>
  <c r="K8" i="1"/>
  <c r="H8" i="1"/>
  <c r="F8" i="1"/>
  <c r="D8" i="1"/>
  <c r="C8" i="1"/>
  <c r="L7" i="1"/>
  <c r="K7" i="1"/>
  <c r="H7" i="1"/>
  <c r="G7" i="1"/>
  <c r="F7" i="1"/>
  <c r="D7" i="1"/>
  <c r="C7" i="1"/>
  <c r="L6" i="1"/>
  <c r="K6" i="1"/>
  <c r="H6" i="1"/>
  <c r="G6" i="1"/>
  <c r="F6" i="1"/>
  <c r="D6" i="1"/>
  <c r="C6" i="1"/>
  <c r="L5" i="1"/>
  <c r="K5" i="1"/>
  <c r="H5" i="1"/>
  <c r="G5" i="1"/>
  <c r="F5" i="1"/>
  <c r="D5" i="1"/>
  <c r="C5" i="1"/>
  <c r="L4" i="1"/>
  <c r="K4" i="1"/>
  <c r="H4" i="1"/>
  <c r="G4" i="1"/>
  <c r="F4" i="1"/>
  <c r="D4" i="1"/>
  <c r="C4" i="1"/>
  <c r="D28" i="1" l="1"/>
  <c r="C19" i="1"/>
  <c r="D26" i="1"/>
  <c r="D31" i="1"/>
  <c r="D36" i="1"/>
  <c r="D25" i="1"/>
  <c r="D35" i="1"/>
  <c r="D29" i="1"/>
  <c r="D33" i="1"/>
  <c r="D24" i="1"/>
  <c r="D27" i="1"/>
  <c r="D30" i="1"/>
  <c r="D32" i="1"/>
  <c r="D34" i="1"/>
  <c r="D37" i="1"/>
</calcChain>
</file>

<file path=xl/sharedStrings.xml><?xml version="1.0" encoding="utf-8"?>
<sst xmlns="http://schemas.openxmlformats.org/spreadsheetml/2006/main" count="926" uniqueCount="487">
  <si>
    <t>APARICOES POR LIGA NO RANKING</t>
  </si>
  <si>
    <t>TOP 15 ATLETAS — REMUNERACAO TOTAL</t>
  </si>
  <si>
    <t>ESPORTES QUE MAIS PAGAM — MEDIA TOTAL</t>
  </si>
  <si>
    <t>Liga</t>
  </si>
  <si>
    <t>Qtd. Times</t>
  </si>
  <si>
    <t>Sal. Medio por Jogador (USD)</t>
  </si>
  <si>
    <t>Atleta</t>
  </si>
  <si>
    <t>Remuneracao Total (US$)</t>
  </si>
  <si>
    <t>Esporte</t>
  </si>
  <si>
    <t>Media Remuneracao (US$)</t>
  </si>
  <si>
    <t>Qtd. Atletas</t>
  </si>
  <si>
    <t>AFL</t>
  </si>
  <si>
    <t>Baseball</t>
  </si>
  <si>
    <t>Bundesliga</t>
  </si>
  <si>
    <t>Basketball</t>
  </si>
  <si>
    <t>CFL</t>
  </si>
  <si>
    <t>Boxing</t>
  </si>
  <si>
    <t>CSL</t>
  </si>
  <si>
    <t>Cricket</t>
  </si>
  <si>
    <t>EPL</t>
  </si>
  <si>
    <t>Football</t>
  </si>
  <si>
    <t>IPL</t>
  </si>
  <si>
    <t>Golf</t>
  </si>
  <si>
    <t>La Liga</t>
  </si>
  <si>
    <t>Racing</t>
  </si>
  <si>
    <t>MLB</t>
  </si>
  <si>
    <t>Soccer</t>
  </si>
  <si>
    <t>MLS</t>
  </si>
  <si>
    <t>Tennis</t>
  </si>
  <si>
    <t>NBA</t>
  </si>
  <si>
    <t>Track</t>
  </si>
  <si>
    <t>NFL</t>
  </si>
  <si>
    <t>NHL</t>
  </si>
  <si>
    <t>NPB</t>
  </si>
  <si>
    <t>VISAO GERAL — FOLHA SALARIAL DOS TIMES</t>
  </si>
  <si>
    <t>SPL</t>
  </si>
  <si>
    <t>Indicador</t>
  </si>
  <si>
    <t>Folha Salarial Total</t>
  </si>
  <si>
    <t>Sal. Medio por Jogador</t>
  </si>
  <si>
    <t>Serie A</t>
  </si>
  <si>
    <t>Media geral dos times</t>
  </si>
  <si>
    <t>TOTAL</t>
  </si>
  <si>
    <t>Maior valor</t>
  </si>
  <si>
    <t>Menor valor</t>
  </si>
  <si>
    <t>LIGAS QUE MAIS PAGAM POR JOGADOR</t>
  </si>
  <si>
    <t>TOP 15 ATLETAS — MAIOR SALARIO</t>
  </si>
  <si>
    <t>Times acima da media</t>
  </si>
  <si>
    <t>Sal. Medio / Jogador (USD)</t>
  </si>
  <si>
    <t>Posicao</t>
  </si>
  <si>
    <t>Salario / Premiacoes (US$)</t>
  </si>
  <si>
    <t>Times abaixo da media</t>
  </si>
  <si>
    <t>Time com maior folha</t>
  </si>
  <si>
    <t>Time com menor folha</t>
  </si>
  <si>
    <t>VISAO GERAL — ATLETAS</t>
  </si>
  <si>
    <t>Remuneracao Total</t>
  </si>
  <si>
    <t>Patrocinios</t>
  </si>
  <si>
    <t>Media geral</t>
  </si>
  <si>
    <t>Atleta lider</t>
  </si>
  <si>
    <t>Acima da media</t>
  </si>
  <si>
    <t>Abaixo da media</t>
  </si>
  <si>
    <t>TOP 10 TIMES QUE MAIS CRESCERAM A FOLHA</t>
  </si>
  <si>
    <t>TOP 15 ATLETAS — MAIOR PATROCINIO</t>
  </si>
  <si>
    <t>Time</t>
  </si>
  <si>
    <t>% Variacao Ano Anterior</t>
  </si>
  <si>
    <t>Patrocinios (US$)</t>
  </si>
  <si>
    <t>TOP 10 TIMES QUE MAIS ENXUGARAM A FOLHA</t>
  </si>
  <si>
    <t>Ranking de Atletas com Maiores Remuneracoes (2014)</t>
  </si>
  <si>
    <t>Remuneracao Total 2014 (US$)</t>
  </si>
  <si>
    <t>Floyd Mayweather</t>
  </si>
  <si>
    <t>Cristiano Ronaldo</t>
  </si>
  <si>
    <t>LeBron James</t>
  </si>
  <si>
    <t>Lionel Messi</t>
  </si>
  <si>
    <t>Kobe Bryant</t>
  </si>
  <si>
    <t>Tiger Woods</t>
  </si>
  <si>
    <t>Roger Federer</t>
  </si>
  <si>
    <t>Phil Mickelson</t>
  </si>
  <si>
    <t>Rafael Nadal</t>
  </si>
  <si>
    <t>Matt Ryan</t>
  </si>
  <si>
    <t>Manny Pacquiao</t>
  </si>
  <si>
    <t>Zlatan Ibrahimovic</t>
  </si>
  <si>
    <t>Derrick Rose</t>
  </si>
  <si>
    <t>Gareth Bale</t>
  </si>
  <si>
    <t>Radamel Falcao</t>
  </si>
  <si>
    <t>Neymar</t>
  </si>
  <si>
    <t>Novak Djokovic</t>
  </si>
  <si>
    <t>Matthew Stafford</t>
  </si>
  <si>
    <t>Lewis Hamilton</t>
  </si>
  <si>
    <t>Kevin Durant</t>
  </si>
  <si>
    <t>Fernando Alonso</t>
  </si>
  <si>
    <t>Mahendra Singh Dhoni</t>
  </si>
  <si>
    <t>Dwyane Wade</t>
  </si>
  <si>
    <t>Carmelo Anthony</t>
  </si>
  <si>
    <t>Wladimir Klitschko</t>
  </si>
  <si>
    <t>Peyton Manning</t>
  </si>
  <si>
    <t>Amar'e Stoudemire</t>
  </si>
  <si>
    <t>Dale Earnhardt, Jr.</t>
  </si>
  <si>
    <t>Dwight Howard</t>
  </si>
  <si>
    <t>Cliff Lee</t>
  </si>
  <si>
    <t>Joe Mauer</t>
  </si>
  <si>
    <t>Miguel Cabrera</t>
  </si>
  <si>
    <t>Zack Greinke</t>
  </si>
  <si>
    <t>Maria Sharapova</t>
  </si>
  <si>
    <t>Derek Jeter</t>
  </si>
  <si>
    <t>Rory McIlroy</t>
  </si>
  <si>
    <t>Chris Paul</t>
  </si>
  <si>
    <t>CC Sabathia</t>
  </si>
  <si>
    <t>Prince Fielder</t>
  </si>
  <si>
    <t>Darrelle Revis</t>
  </si>
  <si>
    <t>Li Na</t>
  </si>
  <si>
    <t>Jimmie Johnson</t>
  </si>
  <si>
    <t>Wayne Rooney</t>
  </si>
  <si>
    <t>Sergio Aguero</t>
  </si>
  <si>
    <t>Usain Bolt</t>
  </si>
  <si>
    <t>Dirk Nowitzki</t>
  </si>
  <si>
    <t>Blake Griffin</t>
  </si>
  <si>
    <t>Alex Rodriguez</t>
  </si>
  <si>
    <t>Johan Santana</t>
  </si>
  <si>
    <t>Mark Teixeira</t>
  </si>
  <si>
    <t>Matt Kemp</t>
  </si>
  <si>
    <t>Joe Johnson</t>
  </si>
  <si>
    <t>Geno Atkins</t>
  </si>
  <si>
    <t>Ryan Howard</t>
  </si>
  <si>
    <t>Aaron Rodgers</t>
  </si>
  <si>
    <t>Serena Williams</t>
  </si>
  <si>
    <t>Chris Bosh</t>
  </si>
  <si>
    <t>Pau Gasol</t>
  </si>
  <si>
    <t>Yaya Touré</t>
  </si>
  <si>
    <t>Robinson Cano</t>
  </si>
  <si>
    <t>Adrian Gonzalez</t>
  </si>
  <si>
    <t>Joe Haden</t>
  </si>
  <si>
    <t>Fernando Torres</t>
  </si>
  <si>
    <t>Henrik Stenson</t>
  </si>
  <si>
    <t>Vernon Wells</t>
  </si>
  <si>
    <t>Canelo Alvarez</t>
  </si>
  <si>
    <t>Drew Brees</t>
  </si>
  <si>
    <t>Eli Manning</t>
  </si>
  <si>
    <t>Julius Peppers</t>
  </si>
  <si>
    <t>Cole Hamels</t>
  </si>
  <si>
    <t>Jason Peters</t>
  </si>
  <si>
    <t>Justin Verlander</t>
  </si>
  <si>
    <t>Tim Lincecum</t>
  </si>
  <si>
    <t>Carl Crawford</t>
  </si>
  <si>
    <t>Matt Cain</t>
  </si>
  <si>
    <t>Barry Zito</t>
  </si>
  <si>
    <t>Felix Hernandez</t>
  </si>
  <si>
    <t>Albert Pujols</t>
  </si>
  <si>
    <t>Deron Williams</t>
  </si>
  <si>
    <t>David Ortiz</t>
  </si>
  <si>
    <t>Robin van Persie</t>
  </si>
  <si>
    <t>Russell Westbrook</t>
  </si>
  <si>
    <t>Sebastian Vettel</t>
  </si>
  <si>
    <t>Carlos Dunlap</t>
  </si>
  <si>
    <t>Zach Randolph</t>
  </si>
  <si>
    <t>Steven Gerrard</t>
  </si>
  <si>
    <t>Jeff Gordon</t>
  </si>
  <si>
    <t>Rudy Gay</t>
  </si>
  <si>
    <t>Larry Fitzgerald</t>
  </si>
  <si>
    <t>Mesut Ozil</t>
  </si>
  <si>
    <t>Branden Albert</t>
  </si>
  <si>
    <t>Franck Ribéry</t>
  </si>
  <si>
    <t>Alfonso Soriano</t>
  </si>
  <si>
    <t>Jairus Byrd</t>
  </si>
  <si>
    <t>Adam Scott</t>
  </si>
  <si>
    <t>Terrell Suggs</t>
  </si>
  <si>
    <t>Brandon Marshall</t>
  </si>
  <si>
    <t>Jayson Werth</t>
  </si>
  <si>
    <t>Matt Holliday</t>
  </si>
  <si>
    <t>Luis Suarez</t>
  </si>
  <si>
    <t>Ranking de Times com Maiores Folhas de Pagamento</t>
  </si>
  <si>
    <t>Ranking</t>
  </si>
  <si>
    <t>Rank. Ano Anterior</t>
  </si>
  <si>
    <t>Sal. Medio/Jogador (US$)</t>
  </si>
  <si>
    <t>% Variacao Ano Ant.</t>
  </si>
  <si>
    <t>Folha Salarial (US$)</t>
  </si>
  <si>
    <t>Rank. Folha Salarial</t>
  </si>
  <si>
    <t>Ganho Medio 5 Anos (US$)</t>
  </si>
  <si>
    <t>% Variacao 5 Anos</t>
  </si>
  <si>
    <t>Manchester City</t>
  </si>
  <si>
    <t xml:space="preserve"> EPL</t>
  </si>
  <si>
    <t>New York Yankees</t>
  </si>
  <si>
    <t xml:space="preserve"> MLB</t>
  </si>
  <si>
    <t>Los Angeles Dodgers</t>
  </si>
  <si>
    <t>Real Madrid</t>
  </si>
  <si>
    <t xml:space="preserve"> La Liga</t>
  </si>
  <si>
    <t>Barcelona</t>
  </si>
  <si>
    <t>Brooklyn Nets</t>
  </si>
  <si>
    <t xml:space="preserve"> NBA</t>
  </si>
  <si>
    <t>Bayern Munich</t>
  </si>
  <si>
    <t xml:space="preserve"> Bundesliga</t>
  </si>
  <si>
    <t>Manchester United</t>
  </si>
  <si>
    <t>Chicago Bulls</t>
  </si>
  <si>
    <t>Chelsea</t>
  </si>
  <si>
    <t>Arsenal</t>
  </si>
  <si>
    <t>NY Knicks</t>
  </si>
  <si>
    <t>Detroit Tigers</t>
  </si>
  <si>
    <t>Philadelphia Phillies</t>
  </si>
  <si>
    <t>Boston Red Sox</t>
  </si>
  <si>
    <t>Miami Heat</t>
  </si>
  <si>
    <t>San Francisco Giants</t>
  </si>
  <si>
    <t>Juventus</t>
  </si>
  <si>
    <t xml:space="preserve"> Serie A</t>
  </si>
  <si>
    <t>LA Lakers</t>
  </si>
  <si>
    <t>Liverpool</t>
  </si>
  <si>
    <t>Boston Celtics</t>
  </si>
  <si>
    <t>Oklahoma City Thunder</t>
  </si>
  <si>
    <t>Indiana Pacers</t>
  </si>
  <si>
    <t>Mumbai Indians</t>
  </si>
  <si>
    <t xml:space="preserve"> IPL</t>
  </si>
  <si>
    <t>Roma</t>
  </si>
  <si>
    <t>LA Clippers</t>
  </si>
  <si>
    <t>Milan</t>
  </si>
  <si>
    <t>Golden State Warriors</t>
  </si>
  <si>
    <t>Washington Nationals</t>
  </si>
  <si>
    <t>Toronto Blue Jays</t>
  </si>
  <si>
    <t>Internazionale</t>
  </si>
  <si>
    <t>New Orleans Pelicans</t>
  </si>
  <si>
    <t>Memphis Grizzlies</t>
  </si>
  <si>
    <t>Minnesota Timberwolves</t>
  </si>
  <si>
    <t>Denver Nuggets</t>
  </si>
  <si>
    <t>Dallas Mavericks</t>
  </si>
  <si>
    <t>Sacramento Kings</t>
  </si>
  <si>
    <t>LA Angels</t>
  </si>
  <si>
    <t>Kolkata Knight Riders</t>
  </si>
  <si>
    <t>Royal Challengers Bangalore</t>
  </si>
  <si>
    <t>Delhi Daredevils</t>
  </si>
  <si>
    <t>San Antonio Spurs</t>
  </si>
  <si>
    <t>Washington Wizards</t>
  </si>
  <si>
    <t>Chennai Super Kings</t>
  </si>
  <si>
    <t>Toronto Raptors</t>
  </si>
  <si>
    <t>Portland Trail Blazers</t>
  </si>
  <si>
    <t>Borussia Dortmund</t>
  </si>
  <si>
    <t>Texas Rangers</t>
  </si>
  <si>
    <t>Detroit Pistons</t>
  </si>
  <si>
    <t>Houston Rockets</t>
  </si>
  <si>
    <t>Schalke</t>
  </si>
  <si>
    <t>Cleveland Cavaliers</t>
  </si>
  <si>
    <t>Charlotte Bobcats</t>
  </si>
  <si>
    <t>Tottenham</t>
  </si>
  <si>
    <t>Pune Warriors</t>
  </si>
  <si>
    <t>St Louis Cardinals</t>
  </si>
  <si>
    <t>Atlanta Hawks</t>
  </si>
  <si>
    <t>Milwaukee Brewers</t>
  </si>
  <si>
    <t>Milwaukee Bucks</t>
  </si>
  <si>
    <t>Utah Jazz</t>
  </si>
  <si>
    <t>Arizona Diamondbacks</t>
  </si>
  <si>
    <t>Colorado Rockies</t>
  </si>
  <si>
    <t>Orlando Magic</t>
  </si>
  <si>
    <t>Phoenix Suns</t>
  </si>
  <si>
    <t>Cincinnati Reds</t>
  </si>
  <si>
    <t>Minnesota Twins</t>
  </si>
  <si>
    <t>Baltimore Orioles</t>
  </si>
  <si>
    <t>Kansas City Royals</t>
  </si>
  <si>
    <t>Chicago White Sox</t>
  </si>
  <si>
    <t>Queens Park Rangers</t>
  </si>
  <si>
    <t>Atlanta Braves</t>
  </si>
  <si>
    <t>New York Mets</t>
  </si>
  <si>
    <t>Seattle Mariners</t>
  </si>
  <si>
    <t>Cleveland Indians</t>
  </si>
  <si>
    <t>Aston Villa</t>
  </si>
  <si>
    <t>Chicago Blackhawks</t>
  </si>
  <si>
    <t xml:space="preserve"> NHL</t>
  </si>
  <si>
    <t>San Diego Padres</t>
  </si>
  <si>
    <t>Pittsburgh Pirates</t>
  </si>
  <si>
    <t>Philadelphia Flyers</t>
  </si>
  <si>
    <t>Philadelphia 76ers</t>
  </si>
  <si>
    <t>LA Kings</t>
  </si>
  <si>
    <t>Minnesota Wild</t>
  </si>
  <si>
    <t>Tampa Bay Rays</t>
  </si>
  <si>
    <t>Nashville Predators</t>
  </si>
  <si>
    <t>Vancouver Canucks</t>
  </si>
  <si>
    <t>Fulham</t>
  </si>
  <si>
    <t>New York Rangers</t>
  </si>
  <si>
    <t>Newcastle</t>
  </si>
  <si>
    <t>Chicago Cubs</t>
  </si>
  <si>
    <t>Napoli</t>
  </si>
  <si>
    <t>Atletico Madrid</t>
  </si>
  <si>
    <t>Boston Bruins</t>
  </si>
  <si>
    <t>Everton</t>
  </si>
  <si>
    <t>Montreal Canadiens</t>
  </si>
  <si>
    <t>San Jose Sharks</t>
  </si>
  <si>
    <t>Lazio</t>
  </si>
  <si>
    <t>Detroit Red Wings</t>
  </si>
  <si>
    <t>N/ rankeado</t>
  </si>
  <si>
    <t>Sunrisers Hyderabad</t>
  </si>
  <si>
    <t>Carolina Hurricanes</t>
  </si>
  <si>
    <t>Oakland Athletics</t>
  </si>
  <si>
    <t>Washington Capitals</t>
  </si>
  <si>
    <t>Valencia</t>
  </si>
  <si>
    <t>Kings XI Punjab</t>
  </si>
  <si>
    <t>St Louis Blues</t>
  </si>
  <si>
    <t>Pittsburgh Penguins</t>
  </si>
  <si>
    <t>Dallas Stars</t>
  </si>
  <si>
    <t>Bayer Leverkusen</t>
  </si>
  <si>
    <t>Werder Bremen</t>
  </si>
  <si>
    <t>Sunderland</t>
  </si>
  <si>
    <t>Toronto Maple Leafs</t>
  </si>
  <si>
    <t>Wolfsburg</t>
  </si>
  <si>
    <t>Stoke</t>
  </si>
  <si>
    <t>Stuttgart</t>
  </si>
  <si>
    <t>Phoenix Coyotes</t>
  </si>
  <si>
    <t>Minnesota Vikings</t>
  </si>
  <si>
    <t xml:space="preserve"> NFL</t>
  </si>
  <si>
    <t>Seattle Seahawks</t>
  </si>
  <si>
    <t>West Bromwich Albion</t>
  </si>
  <si>
    <t>Winnipeg Jets</t>
  </si>
  <si>
    <t>Anaheim Ducks</t>
  </si>
  <si>
    <t>Tampa Bay Lightning</t>
  </si>
  <si>
    <t>Chicago Bears</t>
  </si>
  <si>
    <t>Buffalo Sabres</t>
  </si>
  <si>
    <t>Colorado Avalanche</t>
  </si>
  <si>
    <t>Edmonton Oilers</t>
  </si>
  <si>
    <t>Denver Broncos</t>
  </si>
  <si>
    <t>New Jersey Devils</t>
  </si>
  <si>
    <t>Ottawa Senators</t>
  </si>
  <si>
    <t>Hamburg</t>
  </si>
  <si>
    <t>Columbus Blue Jackets</t>
  </si>
  <si>
    <t>New Orleans Saints</t>
  </si>
  <si>
    <t>West Ham</t>
  </si>
  <si>
    <t>Kansas City Chiefs</t>
  </si>
  <si>
    <t>Tennessee Titans</t>
  </si>
  <si>
    <t>Green Bay Packers</t>
  </si>
  <si>
    <t>Philadelphia Eagles</t>
  </si>
  <si>
    <t>Sevilla</t>
  </si>
  <si>
    <t>Pittsburgh Steelers</t>
  </si>
  <si>
    <t>Cincinnati Bengals</t>
  </si>
  <si>
    <t>New York Giants</t>
  </si>
  <si>
    <t>San Francisco 49ers</t>
  </si>
  <si>
    <t>Norwich</t>
  </si>
  <si>
    <t>Houston Texans</t>
  </si>
  <si>
    <t>Indianapolis Colts</t>
  </si>
  <si>
    <t>Calgary Flames</t>
  </si>
  <si>
    <t>Tampa Bay Bucs</t>
  </si>
  <si>
    <t>St Louis Rams</t>
  </si>
  <si>
    <t>Reading</t>
  </si>
  <si>
    <t>San Diego Chargers</t>
  </si>
  <si>
    <t>New England Patriots</t>
  </si>
  <si>
    <t>Detroit Lions</t>
  </si>
  <si>
    <t>Fiorentina</t>
  </si>
  <si>
    <t>Baltimore Ravens</t>
  </si>
  <si>
    <t>Swansea</t>
  </si>
  <si>
    <t>Atlanta Falcons</t>
  </si>
  <si>
    <t>Southampton</t>
  </si>
  <si>
    <t>Dallas Cowboys</t>
  </si>
  <si>
    <t>Florida Panthers</t>
  </si>
  <si>
    <t>Washington Redskins</t>
  </si>
  <si>
    <t>New York Jets</t>
  </si>
  <si>
    <t>Buffalo Bills</t>
  </si>
  <si>
    <t>Eintracht Frankfurt</t>
  </si>
  <si>
    <t>Cleveland Browns</t>
  </si>
  <si>
    <t>Miami Dolphins</t>
  </si>
  <si>
    <t>Athletic Bilbao</t>
  </si>
  <si>
    <t>New York Islanders</t>
  </si>
  <si>
    <t>Wigan</t>
  </si>
  <si>
    <t>Celtic</t>
  </si>
  <si>
    <t xml:space="preserve"> SPL</t>
  </si>
  <si>
    <t>Borussia Monchengladbach</t>
  </si>
  <si>
    <t>Hannover 96</t>
  </si>
  <si>
    <t>Rajasthan Royals</t>
  </si>
  <si>
    <t>Hoffenheim</t>
  </si>
  <si>
    <t>Malaga</t>
  </si>
  <si>
    <t>Carolina Panthers</t>
  </si>
  <si>
    <t>Houston Astros</t>
  </si>
  <si>
    <t>Jacksonville Jaguars</t>
  </si>
  <si>
    <t>Miami Marlins</t>
  </si>
  <si>
    <t>Sampdoria</t>
  </si>
  <si>
    <t>Guangzhou Evergrande</t>
  </si>
  <si>
    <t xml:space="preserve"> CSL</t>
  </si>
  <si>
    <t>Genoa</t>
  </si>
  <si>
    <t>Mainz</t>
  </si>
  <si>
    <t>Nuremberg</t>
  </si>
  <si>
    <t>Oakland Raiders</t>
  </si>
  <si>
    <t>Yomiuri Giants</t>
  </si>
  <si>
    <t xml:space="preserve"> NPB</t>
  </si>
  <si>
    <t>Getafe</t>
  </si>
  <si>
    <t>Real Sociedad</t>
  </si>
  <si>
    <t>Palermo</t>
  </si>
  <si>
    <t>Arizona Cardinals</t>
  </si>
  <si>
    <t>Bologna</t>
  </si>
  <si>
    <t>Mallorca</t>
  </si>
  <si>
    <t>Atalanta</t>
  </si>
  <si>
    <t>Udinese</t>
  </si>
  <si>
    <t>Espanyol</t>
  </si>
  <si>
    <t>Granada</t>
  </si>
  <si>
    <t>Parma</t>
  </si>
  <si>
    <t>Torino</t>
  </si>
  <si>
    <t>Freiburg</t>
  </si>
  <si>
    <t>Augsburg</t>
  </si>
  <si>
    <t>Osasuna</t>
  </si>
  <si>
    <t>SpVgg Greuther Furth</t>
  </si>
  <si>
    <t>Chunichi Dragons</t>
  </si>
  <si>
    <t>Siena</t>
  </si>
  <si>
    <t>Catania</t>
  </si>
  <si>
    <t>Fortuna Dusseldorf</t>
  </si>
  <si>
    <t>Cagliari</t>
  </si>
  <si>
    <t>Shandong Luneng</t>
  </si>
  <si>
    <t>Real Betis</t>
  </si>
  <si>
    <t>Chievo</t>
  </si>
  <si>
    <t>Fukuoka SoftBank Hawks</t>
  </si>
  <si>
    <t>Deportivo La Coruna</t>
  </si>
  <si>
    <t>Valladolid</t>
  </si>
  <si>
    <t>Zaragoza</t>
  </si>
  <si>
    <t>Hokkaido Nippon Ham Fighters</t>
  </si>
  <si>
    <t>Celta Vigo</t>
  </si>
  <si>
    <t>Toronto FC</t>
  </si>
  <si>
    <t xml:space="preserve"> MLS</t>
  </si>
  <si>
    <t>Guizhou Renhe</t>
  </si>
  <si>
    <t>Pescara</t>
  </si>
  <si>
    <t>Levante</t>
  </si>
  <si>
    <t>Rayo Vallecano</t>
  </si>
  <si>
    <t>Tokyo Yakult Swallows</t>
  </si>
  <si>
    <t>Chiba Lotte Marines</t>
  </si>
  <si>
    <t>Tohoku Rakuten Golden Eagles</t>
  </si>
  <si>
    <t>Saitama Seibu Lions</t>
  </si>
  <si>
    <t>Orix Buffaloes</t>
  </si>
  <si>
    <t>Hanshin Tigers</t>
  </si>
  <si>
    <t>Guangzhou R&amp;F</t>
  </si>
  <si>
    <t>Hiroshima Toyo Carp</t>
  </si>
  <si>
    <t>Yokohama DeNA Bay Stars</t>
  </si>
  <si>
    <t>New York Red Bulls</t>
  </si>
  <si>
    <t>Dalian Aerbin</t>
  </si>
  <si>
    <t>Seattle Sounders</t>
  </si>
  <si>
    <t>LA Galaxy</t>
  </si>
  <si>
    <t>Heart of Midlothian</t>
  </si>
  <si>
    <t>Sydney Swans</t>
  </si>
  <si>
    <t xml:space="preserve"> AFL</t>
  </si>
  <si>
    <t>Collingwood</t>
  </si>
  <si>
    <t>Aberdeen</t>
  </si>
  <si>
    <t>Greater Western Sydney</t>
  </si>
  <si>
    <t>Gold Coast</t>
  </si>
  <si>
    <t>West Coast Eagles</t>
  </si>
  <si>
    <t>Carlton</t>
  </si>
  <si>
    <t>Hawthorn</t>
  </si>
  <si>
    <t>St Kilda</t>
  </si>
  <si>
    <t>Essendon</t>
  </si>
  <si>
    <t>Geelong</t>
  </si>
  <si>
    <t>Richmond</t>
  </si>
  <si>
    <t>Adelaide Crows</t>
  </si>
  <si>
    <t>Melbourne</t>
  </si>
  <si>
    <t>Fremantle</t>
  </si>
  <si>
    <t>Brisbane Lions</t>
  </si>
  <si>
    <t>Western Bulldogs</t>
  </si>
  <si>
    <t>Port Adelaide</t>
  </si>
  <si>
    <t>North Melbourne</t>
  </si>
  <si>
    <t>Hibernian</t>
  </si>
  <si>
    <t>Montreal Impact</t>
  </si>
  <si>
    <t>Beijing Guoan</t>
  </si>
  <si>
    <t>Vancouver Whitecaps</t>
  </si>
  <si>
    <t>Tianjin Taida</t>
  </si>
  <si>
    <t>Dundee United</t>
  </si>
  <si>
    <t>Shanghai Shenhua</t>
  </si>
  <si>
    <t>Changchun Yatai</t>
  </si>
  <si>
    <t>Portland Timbers</t>
  </si>
  <si>
    <t>Shanghai Shenxin</t>
  </si>
  <si>
    <t>Chicago Fire</t>
  </si>
  <si>
    <t>Kilmarnock</t>
  </si>
  <si>
    <t>Qingdao Zhongneng</t>
  </si>
  <si>
    <t>San Jose Earthquakes</t>
  </si>
  <si>
    <t>Philadelphia Union</t>
  </si>
  <si>
    <t>Real Salt Lake</t>
  </si>
  <si>
    <t>Houston Dynamo</t>
  </si>
  <si>
    <t>DC United</t>
  </si>
  <si>
    <t>FC Dallas</t>
  </si>
  <si>
    <t>Liaoning Hongyun</t>
  </si>
  <si>
    <t>St Johnstone</t>
  </si>
  <si>
    <t>Motherwell</t>
  </si>
  <si>
    <t>St Mirren</t>
  </si>
  <si>
    <t>Saskatchewan Roughriders</t>
  </si>
  <si>
    <t xml:space="preserve"> CFL</t>
  </si>
  <si>
    <t>Colorado Rapids</t>
  </si>
  <si>
    <t>Sporting Kansas City</t>
  </si>
  <si>
    <t>Hamilton Tiger-Cats</t>
  </si>
  <si>
    <t>Montreal Alouettes</t>
  </si>
  <si>
    <t>Calgary Stampeders</t>
  </si>
  <si>
    <t>New England Revolution</t>
  </si>
  <si>
    <t>Chivas USA</t>
  </si>
  <si>
    <t>Jiangsu Shuntian</t>
  </si>
  <si>
    <t>Toronto Argonauts</t>
  </si>
  <si>
    <t>BC Lions</t>
  </si>
  <si>
    <t>Edmonton Eskimos</t>
  </si>
  <si>
    <t>Winnipeg Blue Bombers</t>
  </si>
  <si>
    <t>Wuhan Zhuoer</t>
  </si>
  <si>
    <t>Columbus Crew</t>
  </si>
  <si>
    <t>Hangzhou Greentown</t>
  </si>
  <si>
    <t>Inverness Caledonian Thistle</t>
  </si>
  <si>
    <t>Dundee</t>
  </si>
  <si>
    <t>Ross County</t>
  </si>
  <si>
    <t>Shanghai Dongya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</si>
</sst>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US$ &quot;#,##0"/>
    <numFmt numFmtId="165" formatCode="\+0.0%;\(0.0%\);\-"/>
    <numFmt numFmtId="166" formatCode="_-[$$-409]* #,##0.00_ ;_-[$$-409]* \-#,##0.00\ ;_-[$$-409]* \-??_ ;_-@_ "/>
    <numFmt numFmtId="167" formatCode="_-[$R$-416]\ * #,##0.00_-;\-[$R$-416]\ * #,##0.00_-;_-[$R$-416]\ * \-??_-;_-@_-"/>
  </numFmts>
  <fonts count="14" x14ac:knownFonts="1">
    <font>
      <sz val="12"/>
      <color theme="1"/>
      <name val="Corbel"/>
      <family val="2"/>
      <charset val="1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1F1F1F"/>
      <name val="Arial"/>
      <family val="2"/>
    </font>
    <font>
      <b/>
      <sz val="10"/>
      <color rgb="FF7F5200"/>
      <name val="Arial"/>
      <family val="2"/>
    </font>
    <font>
      <b/>
      <sz val="10"/>
      <color rgb="FF1F1F1F"/>
      <name val="Arial"/>
      <family val="2"/>
    </font>
    <font>
      <b/>
      <sz val="10"/>
      <color rgb="FF375623"/>
      <name val="Arial"/>
      <family val="2"/>
    </font>
    <font>
      <b/>
      <sz val="10"/>
      <color rgb="FFC00000"/>
      <name val="Arial"/>
      <family val="2"/>
    </font>
    <font>
      <sz val="10"/>
      <color theme="1"/>
      <name val="Corbel"/>
      <family val="2"/>
      <charset val="1"/>
    </font>
    <font>
      <b/>
      <sz val="14"/>
      <color rgb="FFFFFFFF"/>
      <name val="Arial"/>
      <family val="2"/>
    </font>
    <font>
      <b/>
      <sz val="10"/>
      <color theme="1"/>
      <name val="Corbel"/>
      <family val="2"/>
      <charset val="1"/>
    </font>
    <font>
      <b/>
      <sz val="22"/>
      <name val="Verdana"/>
      <family val="2"/>
      <charset val="1"/>
    </font>
    <font>
      <b/>
      <sz val="14"/>
      <color theme="1"/>
      <name val="Corbel"/>
      <family val="2"/>
      <charset val="1"/>
    </font>
    <font>
      <sz val="18"/>
      <color theme="1"/>
      <name val="Corbe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EBF1E4"/>
      </patternFill>
    </fill>
    <fill>
      <patternFill patternType="solid">
        <fgColor rgb="FFFFFFFF"/>
        <bgColor rgb="FFFFF8E7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BF1E4"/>
      </patternFill>
    </fill>
    <fill>
      <patternFill patternType="solid">
        <fgColor rgb="FFBDD7EE"/>
        <bgColor rgb="FFC6EFCE"/>
      </patternFill>
    </fill>
    <fill>
      <patternFill patternType="solid">
        <fgColor rgb="FF4472C4"/>
        <bgColor rgb="FF2E75B6"/>
      </patternFill>
    </fill>
    <fill>
      <patternFill patternType="solid">
        <fgColor rgb="FF1E4620"/>
        <bgColor rgb="FF375623"/>
      </patternFill>
    </fill>
    <fill>
      <patternFill patternType="solid">
        <fgColor rgb="FF7F6000"/>
        <bgColor rgb="FF7F5200"/>
      </patternFill>
    </fill>
    <fill>
      <patternFill patternType="solid">
        <fgColor rgb="FF375623"/>
        <bgColor rgb="FF1E4620"/>
      </patternFill>
    </fill>
    <fill>
      <patternFill patternType="solid">
        <fgColor rgb="FFEBF1E4"/>
        <bgColor rgb="FFF2F2F2"/>
      </patternFill>
    </fill>
    <fill>
      <patternFill patternType="solid">
        <fgColor rgb="FFFFF8E7"/>
        <bgColor rgb="FFFFF0F0"/>
      </patternFill>
    </fill>
    <fill>
      <patternFill patternType="solid">
        <fgColor rgb="FFC00000"/>
        <bgColor rgb="FF9C0006"/>
      </patternFill>
    </fill>
    <fill>
      <patternFill patternType="solid">
        <fgColor rgb="FF7B0000"/>
        <bgColor rgb="FF9C0006"/>
      </patternFill>
    </fill>
    <fill>
      <patternFill patternType="solid">
        <fgColor rgb="FFFFF0F0"/>
        <bgColor rgb="FFFFF8E7"/>
      </patternFill>
    </fill>
  </fills>
  <borders count="5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1" fontId="3" fillId="5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left" vertical="center"/>
    </xf>
    <xf numFmtId="1" fontId="5" fillId="8" borderId="2" xfId="0" applyNumberFormat="1" applyFont="1" applyFill="1" applyBorder="1" applyAlignment="1">
      <alignment horizontal="center" vertical="center" wrapText="1"/>
    </xf>
    <xf numFmtId="164" fontId="5" fillId="8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right" vertical="center"/>
    </xf>
    <xf numFmtId="1" fontId="3" fillId="5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center" vertical="center" wrapText="1"/>
    </xf>
    <xf numFmtId="1" fontId="3" fillId="7" borderId="2" xfId="0" applyNumberFormat="1" applyFont="1" applyFill="1" applyBorder="1" applyAlignment="1">
      <alignment horizontal="right" vertical="center"/>
    </xf>
    <xf numFmtId="49" fontId="3" fillId="5" borderId="2" xfId="0" applyNumberFormat="1" applyFont="1" applyFill="1" applyBorder="1" applyAlignment="1">
      <alignment horizontal="left" vertical="center"/>
    </xf>
    <xf numFmtId="49" fontId="3" fillId="7" borderId="2" xfId="0" applyNumberFormat="1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/>
    </xf>
    <xf numFmtId="165" fontId="6" fillId="13" borderId="2" xfId="0" applyNumberFormat="1" applyFont="1" applyFill="1" applyBorder="1" applyAlignment="1">
      <alignment horizontal="right" vertical="center"/>
    </xf>
    <xf numFmtId="0" fontId="3" fillId="14" borderId="2" xfId="0" applyFont="1" applyFill="1" applyBorder="1" applyAlignment="1">
      <alignment horizontal="left" vertical="center"/>
    </xf>
    <xf numFmtId="164" fontId="3" fillId="14" borderId="2" xfId="0" applyNumberFormat="1" applyFont="1" applyFill="1" applyBorder="1" applyAlignment="1">
      <alignment horizontal="right" vertical="center"/>
    </xf>
    <xf numFmtId="0" fontId="3" fillId="14" borderId="2" xfId="0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right" vertical="center"/>
    </xf>
    <xf numFmtId="0" fontId="2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left" vertical="center"/>
    </xf>
    <xf numFmtId="165" fontId="7" fillId="17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/>
    </xf>
    <xf numFmtId="166" fontId="8" fillId="0" borderId="0" xfId="0" applyNumberFormat="1" applyFont="1" applyAlignment="1">
      <alignment horizontal="left"/>
    </xf>
    <xf numFmtId="166" fontId="2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167" fontId="0" fillId="0" borderId="3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166" fontId="0" fillId="0" borderId="3" xfId="0" applyNumberFormat="1" applyBorder="1" applyAlignment="1">
      <alignment horizontal="left"/>
    </xf>
    <xf numFmtId="0" fontId="11" fillId="5" borderId="0" xfId="0" applyFont="1" applyFill="1" applyAlignment="1">
      <alignment horizontal="left" vertical="center"/>
    </xf>
    <xf numFmtId="0" fontId="0" fillId="5" borderId="0" xfId="0" applyFill="1"/>
    <xf numFmtId="0" fontId="11" fillId="5" borderId="4" xfId="0" applyFont="1" applyFill="1" applyBorder="1" applyAlignment="1">
      <alignment horizontal="left" vertical="center"/>
    </xf>
    <xf numFmtId="167" fontId="2" fillId="3" borderId="2" xfId="0" applyNumberFormat="1" applyFont="1" applyFill="1" applyBorder="1" applyAlignment="1">
      <alignment horizontal="center" vertic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/>
    </xf>
    <xf numFmtId="165" fontId="3" fillId="5" borderId="2" xfId="0" applyNumberFormat="1" applyFont="1" applyFill="1" applyBorder="1" applyAlignment="1">
      <alignment horizontal="right" vertical="center"/>
    </xf>
    <xf numFmtId="0" fontId="13" fillId="5" borderId="0" xfId="0" applyFont="1" applyFill="1"/>
    <xf numFmtId="165" fontId="3" fillId="4" borderId="2" xfId="0" applyNumberFormat="1" applyFont="1" applyFill="1" applyBorder="1" applyAlignment="1">
      <alignment horizontal="right" vertical="center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375623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375623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8E7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BF1E4"/>
      <rgbColor rgb="FFC6EFCE"/>
      <rgbColor rgb="FFFFF0F0"/>
      <rgbColor rgb="FFF2F2F2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1F1F1F"/>
      <rgbColor rgb="FF1E4620"/>
      <rgbColor rgb="FF7F52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ase">
  <a:themeElements>
    <a:clrScheme name="Verde">
      <a:dk1>
        <a:srgbClr val="000000"/>
      </a:dk1>
      <a:lt1>
        <a:srgbClr val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Base">
      <a:majorFont>
        <a:latin typeface="Corbel" panose="020B05030202040202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gradFill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100000" t="100000" r="100000" b="100000"/>
          </a:path>
          <a:tileRect/>
        </a:gradFill>
      </a:fillStyleLst>
      <a:lnStyleLst>
        <a:ln w="10000" cap="flat" cmpd="sng" algn="ctr">
          <a:prstDash val="solid"/>
        </a:ln>
        <a:ln w="19050" cap="flat" cmpd="sng" algn="ctr">
          <a:prstDash val="solid"/>
        </a:ln>
        <a:ln w="53975" cap="flat" cmpd="dbl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</a:schemeClr>
        </a:solidFill>
        <a:solidFill>
          <a:schemeClr val="phClr">
            <a:tint val="90000"/>
            <a:shade val="85000"/>
            <a:lumMod val="11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5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3" sqref="C23"/>
    </sheetView>
  </sheetViews>
  <sheetFormatPr defaultColWidth="8.5" defaultRowHeight="15.6" x14ac:dyDescent="0.3"/>
  <cols>
    <col min="1" max="1" width="2" customWidth="1"/>
    <col min="2" max="2" width="18" customWidth="1"/>
    <col min="3" max="3" width="13" customWidth="1"/>
    <col min="4" max="4" width="24" customWidth="1"/>
    <col min="5" max="5" width="2" customWidth="1"/>
    <col min="6" max="6" width="28" customWidth="1"/>
    <col min="7" max="7" width="20" customWidth="1"/>
    <col min="8" max="8" width="16" customWidth="1"/>
    <col min="9" max="9" width="2" customWidth="1"/>
    <col min="10" max="10" width="28" customWidth="1"/>
    <col min="11" max="11" width="20" customWidth="1"/>
    <col min="12" max="12" width="14" customWidth="1"/>
  </cols>
  <sheetData>
    <row r="2" spans="2:12" ht="24" customHeight="1" x14ac:dyDescent="0.3">
      <c r="B2" s="7" t="s">
        <v>0</v>
      </c>
      <c r="C2" s="7"/>
      <c r="D2" s="7"/>
      <c r="F2" s="7" t="s">
        <v>1</v>
      </c>
      <c r="G2" s="7"/>
      <c r="H2" s="7"/>
      <c r="J2" s="7" t="s">
        <v>2</v>
      </c>
      <c r="K2" s="7"/>
      <c r="L2" s="7"/>
    </row>
    <row r="3" spans="2:12" ht="31.5" customHeight="1" x14ac:dyDescent="0.3">
      <c r="B3" s="8" t="s">
        <v>3</v>
      </c>
      <c r="C3" s="8" t="s">
        <v>4</v>
      </c>
      <c r="D3" s="8" t="s">
        <v>5</v>
      </c>
      <c r="F3" s="8" t="s">
        <v>6</v>
      </c>
      <c r="G3" s="8" t="s">
        <v>7</v>
      </c>
      <c r="H3" s="8" t="s">
        <v>8</v>
      </c>
      <c r="J3" s="8" t="s">
        <v>8</v>
      </c>
      <c r="K3" s="8" t="s">
        <v>9</v>
      </c>
      <c r="L3" s="8" t="s">
        <v>10</v>
      </c>
    </row>
    <row r="4" spans="2:12" x14ac:dyDescent="0.3">
      <c r="B4" s="9" t="s">
        <v>11</v>
      </c>
      <c r="C4" s="10">
        <f>COUNTIF(Folhas_de_pagamento!$D$3:$D$296,"* "&amp;B4)</f>
        <v>18</v>
      </c>
      <c r="D4" s="11">
        <f>IFERROR(AVERAGEIF(Folhas_de_pagamento!$D$3:$D$296,"* "&amp;B4,Folhas_de_pagamento!$E$3:$E$296),0)</f>
        <v>228012.83333333334</v>
      </c>
      <c r="F4" s="12" t="str">
        <f>IFERROR(INDEX(Salários!$A$3:$A$102,MATCH(LARGE(Salários!$B$3:$B$102,1),Salários!$B$3:$B$102,0)),"-")</f>
        <v>Floyd Mayweather</v>
      </c>
      <c r="G4" s="13">
        <f>IFERROR(LARGE(Salários!$B$3:$B$102,1),0)</f>
        <v>105000000</v>
      </c>
      <c r="H4" s="14" t="str">
        <f>IFERROR(INDEX(Salários!$E$3:$E$102,MATCH(LARGE(Salários!$B$3:$B$102,1),Salários!$B$3:$B$102,0)),"-")</f>
        <v>Boxing</v>
      </c>
      <c r="J4" s="9" t="s">
        <v>12</v>
      </c>
      <c r="K4" s="11">
        <f>IFERROR(AVERAGEIF(Salários!$E$3:$E$102,J4,Salários!$B$3:$B$102),0)</f>
        <v>21700000</v>
      </c>
      <c r="L4" s="10">
        <f>COUNTIF(Salários!$E$3:$E$102,J4)</f>
        <v>27</v>
      </c>
    </row>
    <row r="5" spans="2:12" x14ac:dyDescent="0.3">
      <c r="B5" s="15" t="s">
        <v>13</v>
      </c>
      <c r="C5" s="16">
        <f>COUNTIF(Folhas_de_pagamento!$D$3:$D$296,"* "&amp;B5)</f>
        <v>18</v>
      </c>
      <c r="D5" s="17">
        <f>IFERROR(AVERAGEIF(Folhas_de_pagamento!$D$3:$D$296,"* "&amp;B5,Folhas_de_pagamento!$E$3:$E$296),0)</f>
        <v>2203351.388888889</v>
      </c>
      <c r="F5" s="15" t="str">
        <f>IFERROR(INDEX(Salários!$A$3:$A$102,MATCH(LARGE(Salários!$B$3:$B$102,2),Salários!$B$3:$B$102,0)),"-")</f>
        <v>Cristiano Ronaldo</v>
      </c>
      <c r="G5" s="17">
        <f>IFERROR(LARGE(Salários!$B$3:$B$102,2),0)</f>
        <v>80000000</v>
      </c>
      <c r="H5" s="18" t="str">
        <f>IFERROR(INDEX(Salários!$E$3:$E$102,MATCH(LARGE(Salários!$B$3:$B$102,2),Salários!$B$3:$B$102,0)),"-")</f>
        <v>Soccer</v>
      </c>
      <c r="J5" s="15" t="s">
        <v>14</v>
      </c>
      <c r="K5" s="17">
        <f>IFERROR(AVERAGEIF(Salários!$E$3:$E$102,J5,Salários!$B$3:$B$102),0)</f>
        <v>29272222.222222224</v>
      </c>
      <c r="L5" s="16">
        <f>COUNTIF(Salários!$E$3:$E$102,J5)</f>
        <v>18</v>
      </c>
    </row>
    <row r="6" spans="2:12" x14ac:dyDescent="0.3">
      <c r="B6" s="9" t="s">
        <v>15</v>
      </c>
      <c r="C6" s="10">
        <f>COUNTIF(Folhas_de_pagamento!$D$3:$D$296,"* "&amp;B6)</f>
        <v>8</v>
      </c>
      <c r="D6" s="11">
        <f>IFERROR(AVERAGEIF(Folhas_de_pagamento!$D$3:$D$296,"* "&amp;B6,Folhas_de_pagamento!$E$3:$E$296),0)</f>
        <v>106991</v>
      </c>
      <c r="F6" s="9" t="str">
        <f>IFERROR(INDEX(Salários!$A$3:$A$102,MATCH(LARGE(Salários!$B$3:$B$102,3),Salários!$B$3:$B$102,0)),"-")</f>
        <v>LeBron James</v>
      </c>
      <c r="G6" s="11">
        <f>IFERROR(LARGE(Salários!$B$3:$B$102,3),0)</f>
        <v>72300000</v>
      </c>
      <c r="H6" s="19" t="str">
        <f>IFERROR(INDEX(Salários!$E$3:$E$102,MATCH(LARGE(Salários!$B$3:$B$102,3),Salários!$B$3:$B$102,0)),"-")</f>
        <v>Basketball</v>
      </c>
      <c r="J6" s="9" t="s">
        <v>16</v>
      </c>
      <c r="K6" s="11">
        <f>IFERROR(AVERAGEIF(Salários!$E$3:$E$102,J6,Salários!$B$3:$B$102),0)</f>
        <v>48950000</v>
      </c>
      <c r="L6" s="10">
        <f>COUNTIF(Salários!$E$3:$E$102,J6)</f>
        <v>4</v>
      </c>
    </row>
    <row r="7" spans="2:12" x14ac:dyDescent="0.3">
      <c r="B7" s="15" t="s">
        <v>17</v>
      </c>
      <c r="C7" s="16">
        <f>COUNTIF(Folhas_de_pagamento!$D$3:$D$296,"* "&amp;B7)</f>
        <v>16</v>
      </c>
      <c r="D7" s="17">
        <f>IFERROR(AVERAGEIF(Folhas_de_pagamento!$D$3:$D$296,"* "&amp;B7,Folhas_de_pagamento!$E$3:$E$296),0)</f>
        <v>318904.375</v>
      </c>
      <c r="F7" s="15" t="str">
        <f>IFERROR(INDEX(Salários!$A$3:$A$102,MATCH(LARGE(Salários!$B$3:$B$102,4),Salários!$B$3:$B$102,0)),"-")</f>
        <v>Lionel Messi</v>
      </c>
      <c r="G7" s="17">
        <f>IFERROR(LARGE(Salários!$B$3:$B$102,4),0)</f>
        <v>64700000</v>
      </c>
      <c r="H7" s="18" t="str">
        <f>IFERROR(INDEX(Salários!$E$3:$E$102,MATCH(LARGE(Salários!$B$3:$B$102,4),Salários!$B$3:$B$102,0)),"-")</f>
        <v>Soccer</v>
      </c>
      <c r="J7" s="15" t="s">
        <v>18</v>
      </c>
      <c r="K7" s="17">
        <f>IFERROR(AVERAGEIF(Salários!$E$3:$E$102,J7,Salários!$B$3:$B$102),0)</f>
        <v>30000000</v>
      </c>
      <c r="L7" s="16">
        <f>COUNTIF(Salários!$E$3:$E$102,J7)</f>
        <v>1</v>
      </c>
    </row>
    <row r="8" spans="2:12" x14ac:dyDescent="0.3">
      <c r="B8" s="9" t="s">
        <v>19</v>
      </c>
      <c r="C8" s="10">
        <f>COUNTIF(Folhas_de_pagamento!$D$3:$D$296,"* "&amp;B8)</f>
        <v>20</v>
      </c>
      <c r="D8" s="11">
        <f>IFERROR(AVERAGEIF(Folhas_de_pagamento!$D$3:$D$296,"* "&amp;B8,Folhas_de_pagamento!$E$3:$E$296),0)</f>
        <v>3453778.8</v>
      </c>
      <c r="F8" s="9" t="str">
        <f>IFERROR(INDEX(Salários!$A$3:$A$102,MATCH(LARGE(Salários!$B$3:$B$102,5),Salários!$B$3:$B$102,0)),"-")</f>
        <v>Kobe Bryant</v>
      </c>
      <c r="G8" s="11">
        <f>IFERROR(LARGE(Salários!$B$3:$B$102,5),0)</f>
        <v>61500000</v>
      </c>
      <c r="H8" s="19" t="str">
        <f>IFERROR(INDEX(Salários!$E$3:$E$102,MATCH(LARGE(Salários!$B$3:$B$102,5),Salários!$B$3:$B$102,0)),"-")</f>
        <v>Basketball</v>
      </c>
      <c r="J8" s="9" t="s">
        <v>20</v>
      </c>
      <c r="K8" s="11">
        <f>IFERROR(AVERAGEIF(Salários!$E$3:$E$102,J8,Salários!$B$3:$B$102),0)</f>
        <v>22694117.647058822</v>
      </c>
      <c r="L8" s="10">
        <f>COUNTIF(Salários!$E$3:$E$102,J8)</f>
        <v>17</v>
      </c>
    </row>
    <row r="9" spans="2:12" x14ac:dyDescent="0.3">
      <c r="B9" s="15" t="s">
        <v>21</v>
      </c>
      <c r="C9" s="16">
        <f>COUNTIF(Folhas_de_pagamento!$D$3:$D$296,"* "&amp;B9)</f>
        <v>9</v>
      </c>
      <c r="D9" s="17">
        <f>IFERROR(AVERAGEIF(Folhas_de_pagamento!$D$3:$D$296,"* "&amp;B9,Folhas_de_pagamento!$E$3:$E$296),0)</f>
        <v>3650346.222222222</v>
      </c>
      <c r="F9" s="15" t="str">
        <f>IFERROR(INDEX(Salários!$A$3:$A$102,MATCH(LARGE(Salários!$B$3:$B$102,6),Salários!$B$3:$B$102,0)),"-")</f>
        <v>Tiger Woods</v>
      </c>
      <c r="G9" s="17">
        <f>IFERROR(LARGE(Salários!$B$3:$B$102,6),0)</f>
        <v>61200000</v>
      </c>
      <c r="H9" s="18" t="str">
        <f>IFERROR(INDEX(Salários!$E$3:$E$102,MATCH(LARGE(Salários!$B$3:$B$102,6),Salários!$B$3:$B$102,0)),"-")</f>
        <v>Golf</v>
      </c>
      <c r="J9" s="15" t="s">
        <v>22</v>
      </c>
      <c r="K9" s="17">
        <f>IFERROR(AVERAGEIF(Salários!$E$3:$E$102,J9,Salários!$B$3:$B$102),0)</f>
        <v>35520000</v>
      </c>
      <c r="L9" s="16">
        <f>COUNTIF(Salários!$E$3:$E$102,J9)</f>
        <v>5</v>
      </c>
    </row>
    <row r="10" spans="2:12" x14ac:dyDescent="0.3">
      <c r="B10" s="9" t="s">
        <v>23</v>
      </c>
      <c r="C10" s="10">
        <f>COUNTIF(Folhas_de_pagamento!$D$3:$D$296,"* "&amp;B10)</f>
        <v>20</v>
      </c>
      <c r="D10" s="11">
        <f>IFERROR(AVERAGEIF(Folhas_de_pagamento!$D$3:$D$296,"* "&amp;B10,Folhas_de_pagamento!$E$3:$E$296),0)</f>
        <v>1831734.5</v>
      </c>
      <c r="F10" s="9" t="str">
        <f>IFERROR(INDEX(Salários!$A$3:$A$102,MATCH(LARGE(Salários!$B$3:$B$102,7),Salários!$B$3:$B$102,0)),"-")</f>
        <v>Roger Federer</v>
      </c>
      <c r="G10" s="11">
        <f>IFERROR(LARGE(Salários!$B$3:$B$102,7),0)</f>
        <v>56200000</v>
      </c>
      <c r="H10" s="19" t="str">
        <f>IFERROR(INDEX(Salários!$E$3:$E$102,MATCH(LARGE(Salários!$B$3:$B$102,7),Salários!$B$3:$B$102,0)),"-")</f>
        <v>Tennis</v>
      </c>
      <c r="J10" s="9" t="s">
        <v>24</v>
      </c>
      <c r="K10" s="11">
        <f>IFERROR(AVERAGEIF(Salários!$E$3:$E$102,J10,Salários!$B$3:$B$102),0)</f>
        <v>25016666.666666668</v>
      </c>
      <c r="L10" s="10">
        <f>COUNTIF(Salários!$E$3:$E$102,J10)</f>
        <v>6</v>
      </c>
    </row>
    <row r="11" spans="2:12" x14ac:dyDescent="0.3">
      <c r="B11" s="15" t="s">
        <v>25</v>
      </c>
      <c r="C11" s="16">
        <f>COUNTIF(Folhas_de_pagamento!$D$3:$D$296,"* "&amp;B11)</f>
        <v>30</v>
      </c>
      <c r="D11" s="17">
        <f>IFERROR(AVERAGEIF(Folhas_de_pagamento!$D$3:$D$296,"* "&amp;B11,Folhas_de_pagamento!$E$3:$E$296),0)</f>
        <v>3935364.2333333334</v>
      </c>
      <c r="F11" s="15" t="str">
        <f>IFERROR(INDEX(Salários!$A$3:$A$102,MATCH(LARGE(Salários!$B$3:$B$102,8),Salários!$B$3:$B$102,0)),"-")</f>
        <v>Phil Mickelson</v>
      </c>
      <c r="G11" s="17">
        <f>IFERROR(LARGE(Salários!$B$3:$B$102,8),0)</f>
        <v>53200000</v>
      </c>
      <c r="H11" s="18" t="str">
        <f>IFERROR(INDEX(Salários!$E$3:$E$102,MATCH(LARGE(Salários!$B$3:$B$102,8),Salários!$B$3:$B$102,0)),"-")</f>
        <v>Golf</v>
      </c>
      <c r="J11" s="15" t="s">
        <v>26</v>
      </c>
      <c r="K11" s="17">
        <f>IFERROR(AVERAGEIF(Salários!$E$3:$E$102,J11,Salários!$B$3:$B$102),0)</f>
        <v>31500000</v>
      </c>
      <c r="L11" s="16">
        <f>COUNTIF(Salários!$E$3:$E$102,J11)</f>
        <v>15</v>
      </c>
    </row>
    <row r="12" spans="2:12" x14ac:dyDescent="0.3">
      <c r="B12" s="9" t="s">
        <v>27</v>
      </c>
      <c r="C12" s="10">
        <f>COUNTIF(Folhas_de_pagamento!$D$3:$D$296,"* "&amp;B12)</f>
        <v>19</v>
      </c>
      <c r="D12" s="11">
        <f>IFERROR(AVERAGEIF(Folhas_de_pagamento!$D$3:$D$296,"* "&amp;B12,Folhas_de_pagamento!$E$3:$E$296),0)</f>
        <v>196291.52631578947</v>
      </c>
      <c r="F12" s="9" t="str">
        <f>IFERROR(INDEX(Salários!$A$3:$A$102,MATCH(LARGE(Salários!$B$3:$B$102,9),Salários!$B$3:$B$102,0)),"-")</f>
        <v>Rafael Nadal</v>
      </c>
      <c r="G12" s="11">
        <f>IFERROR(LARGE(Salários!$B$3:$B$102,9),0)</f>
        <v>44500000</v>
      </c>
      <c r="H12" s="19" t="str">
        <f>IFERROR(INDEX(Salários!$E$3:$E$102,MATCH(LARGE(Salários!$B$3:$B$102,9),Salários!$B$3:$B$102,0)),"-")</f>
        <v>Tennis</v>
      </c>
      <c r="J12" s="9" t="s">
        <v>28</v>
      </c>
      <c r="K12" s="11">
        <f>IFERROR(AVERAGEIF(Salários!$E$3:$E$102,J12,Salários!$B$3:$B$102),0)</f>
        <v>33966666.666666664</v>
      </c>
      <c r="L12" s="10">
        <f>COUNTIF(Salários!$E$3:$E$102,J12)</f>
        <v>6</v>
      </c>
    </row>
    <row r="13" spans="2:12" x14ac:dyDescent="0.3">
      <c r="B13" s="15" t="s">
        <v>29</v>
      </c>
      <c r="C13" s="16">
        <f>COUNTIF(Folhas_de_pagamento!$D$3:$D$296,"* "&amp;B13)</f>
        <v>30</v>
      </c>
      <c r="D13" s="17">
        <f>IFERROR(AVERAGEIF(Folhas_de_pagamento!$D$3:$D$296,"* "&amp;B13,Folhas_de_pagamento!$E$3:$E$296),0)</f>
        <v>4530724.1333333338</v>
      </c>
      <c r="F13" s="15" t="str">
        <f>IFERROR(INDEX(Salários!$A$3:$A$102,MATCH(LARGE(Salários!$B$3:$B$102,10),Salários!$B$3:$B$102,0)),"-")</f>
        <v>Matt Ryan</v>
      </c>
      <c r="G13" s="17">
        <f>IFERROR(LARGE(Salários!$B$3:$B$102,10),0)</f>
        <v>43800000</v>
      </c>
      <c r="H13" s="18" t="str">
        <f>IFERROR(INDEX(Salários!$E$3:$E$102,MATCH(LARGE(Salários!$B$3:$B$102,10),Salários!$B$3:$B$102,0)),"-")</f>
        <v>Football</v>
      </c>
      <c r="J13" s="15" t="s">
        <v>30</v>
      </c>
      <c r="K13" s="17">
        <f>IFERROR(AVERAGEIF(Salários!$E$3:$E$102,J13,Salários!$B$3:$B$102),0)</f>
        <v>23200000</v>
      </c>
      <c r="L13" s="16">
        <f>COUNTIF(Salários!$E$3:$E$102,J13)</f>
        <v>1</v>
      </c>
    </row>
    <row r="14" spans="2:12" x14ac:dyDescent="0.3">
      <c r="B14" s="9" t="s">
        <v>31</v>
      </c>
      <c r="C14" s="10">
        <f>COUNTIF(Folhas_de_pagamento!$D$3:$D$296,"* "&amp;B14)</f>
        <v>32</v>
      </c>
      <c r="D14" s="11">
        <f>IFERROR(AVERAGEIF(Folhas_de_pagamento!$D$3:$D$296,"* "&amp;B14,Folhas_de_pagamento!$E$3:$E$296),0)</f>
        <v>1955966.21875</v>
      </c>
      <c r="F14" s="9" t="str">
        <f>IFERROR(INDEX(Salários!$A$3:$A$102,MATCH(LARGE(Salários!$B$3:$B$102,11),Salários!$B$3:$B$102,0)),"-")</f>
        <v>Manny Pacquiao</v>
      </c>
      <c r="G14" s="11">
        <f>IFERROR(LARGE(Salários!$B$3:$B$102,11),0)</f>
        <v>41800000</v>
      </c>
      <c r="H14" s="19" t="str">
        <f>IFERROR(INDEX(Salários!$E$3:$E$102,MATCH(LARGE(Salários!$B$3:$B$102,11),Salários!$B$3:$B$102,0)),"-")</f>
        <v>Boxing</v>
      </c>
    </row>
    <row r="15" spans="2:12" x14ac:dyDescent="0.3">
      <c r="B15" s="15" t="s">
        <v>32</v>
      </c>
      <c r="C15" s="16">
        <f>COUNTIF(Folhas_de_pagamento!$D$3:$D$296,"* "&amp;B15)</f>
        <v>30</v>
      </c>
      <c r="D15" s="17">
        <f>IFERROR(AVERAGEIF(Folhas_de_pagamento!$D$3:$D$296,"* "&amp;B15,Folhas_de_pagamento!$E$3:$E$296),0)</f>
        <v>2429934.7333333334</v>
      </c>
      <c r="F15" s="15" t="str">
        <f>IFERROR(INDEX(Salários!$A$3:$A$102,MATCH(LARGE(Salários!$B$3:$B$102,12),Salários!$B$3:$B$102,0)),"-")</f>
        <v>Zlatan Ibrahimovic</v>
      </c>
      <c r="G15" s="17">
        <f>IFERROR(LARGE(Salários!$B$3:$B$102,12),0)</f>
        <v>40400000</v>
      </c>
      <c r="H15" s="18" t="str">
        <f>IFERROR(INDEX(Salários!$E$3:$E$102,MATCH(LARGE(Salários!$B$3:$B$102,12),Salários!$B$3:$B$102,0)),"-")</f>
        <v>Soccer</v>
      </c>
    </row>
    <row r="16" spans="2:12" ht="24" customHeight="1" x14ac:dyDescent="0.3">
      <c r="B16" s="9" t="s">
        <v>33</v>
      </c>
      <c r="C16" s="10">
        <f>COUNTIF(Folhas_de_pagamento!$D$3:$D$296,"* "&amp;B16)</f>
        <v>12</v>
      </c>
      <c r="D16" s="11">
        <f>IFERROR(AVERAGEIF(Folhas_de_pagamento!$D$3:$D$296,"* "&amp;B16,Folhas_de_pagamento!$E$3:$E$296),0)</f>
        <v>604940.08333333337</v>
      </c>
      <c r="F16" s="9" t="str">
        <f>IFERROR(INDEX(Salários!$A$3:$A$102,MATCH(LARGE(Salários!$B$3:$B$102,13),Salários!$B$3:$B$102,0)),"-")</f>
        <v>Derrick Rose</v>
      </c>
      <c r="G16" s="11">
        <f>IFERROR(LARGE(Salários!$B$3:$B$102,13),0)</f>
        <v>36600000</v>
      </c>
      <c r="H16" s="19" t="str">
        <f>IFERROR(INDEX(Salários!$E$3:$E$102,MATCH(LARGE(Salários!$B$3:$B$102,13),Salários!$B$3:$B$102,0)),"-")</f>
        <v>Basketball</v>
      </c>
      <c r="J16" s="6" t="s">
        <v>34</v>
      </c>
      <c r="K16" s="6"/>
      <c r="L16" s="6"/>
    </row>
    <row r="17" spans="2:12" ht="31.5" customHeight="1" x14ac:dyDescent="0.3">
      <c r="B17" s="15" t="s">
        <v>35</v>
      </c>
      <c r="C17" s="16">
        <f>COUNTIF(Folhas_de_pagamento!$D$3:$D$296,"* "&amp;B17)</f>
        <v>12</v>
      </c>
      <c r="D17" s="17">
        <f>IFERROR(AVERAGEIF(Folhas_de_pagamento!$D$3:$D$296,"* "&amp;B17,Folhas_de_pagamento!$E$3:$E$296),0)</f>
        <v>277709.91666666669</v>
      </c>
      <c r="F17" s="15" t="str">
        <f>IFERROR(INDEX(Salários!$A$3:$A$102,MATCH(LARGE(Salários!$B$3:$B$102,14),Salários!$B$3:$B$102,0)),"-")</f>
        <v>Gareth Bale</v>
      </c>
      <c r="G17" s="17">
        <f>IFERROR(LARGE(Salários!$B$3:$B$102,14),0)</f>
        <v>36400000</v>
      </c>
      <c r="H17" s="18" t="str">
        <f>IFERROR(INDEX(Salários!$E$3:$E$102,MATCH(LARGE(Salários!$B$3:$B$102,14),Salários!$B$3:$B$102,0)),"-")</f>
        <v>Soccer</v>
      </c>
      <c r="J17" s="20" t="s">
        <v>36</v>
      </c>
      <c r="K17" s="20" t="s">
        <v>37</v>
      </c>
      <c r="L17" s="20" t="s">
        <v>38</v>
      </c>
    </row>
    <row r="18" spans="2:12" x14ac:dyDescent="0.3">
      <c r="B18" s="9" t="s">
        <v>39</v>
      </c>
      <c r="C18" s="10">
        <f>COUNTIF(Folhas_de_pagamento!$D$3:$D$296,"* "&amp;B18)</f>
        <v>20</v>
      </c>
      <c r="D18" s="11">
        <f>IFERROR(AVERAGEIF(Folhas_de_pagamento!$D$3:$D$296,"* "&amp;B18,Folhas_de_pagamento!$E$3:$E$296),0)</f>
        <v>1987535.3</v>
      </c>
      <c r="F18" s="9" t="str">
        <f>IFERROR(INDEX(Salários!$A$3:$A$102,MATCH(LARGE(Salários!$B$3:$B$102,15),Salários!$B$3:$B$102,0)),"-")</f>
        <v>Radamel Falcao</v>
      </c>
      <c r="G18" s="11">
        <f>IFERROR(LARGE(Salários!$B$3:$B$102,15),0)</f>
        <v>35400000</v>
      </c>
      <c r="H18" s="19" t="str">
        <f>IFERROR(INDEX(Salários!$E$3:$E$102,MATCH(LARGE(Salários!$B$3:$B$102,15),Salários!$B$3:$B$102,0)),"-")</f>
        <v>Soccer</v>
      </c>
      <c r="J18" s="21" t="s">
        <v>40</v>
      </c>
      <c r="K18" s="22">
        <f>AVERAGE(Folhas_de_pagamento!$G$3:$G$296)</f>
        <v>54929686.57823129</v>
      </c>
      <c r="L18" s="22">
        <f>AVERAGE(Folhas_de_pagamento!$E$3:$E$296)</f>
        <v>2149081.6088435375</v>
      </c>
    </row>
    <row r="19" spans="2:12" x14ac:dyDescent="0.3">
      <c r="B19" s="23" t="s">
        <v>41</v>
      </c>
      <c r="C19" s="24">
        <f>SUM(C4:C18)</f>
        <v>294</v>
      </c>
      <c r="D19" s="25">
        <f>IFERROR(AVERAGE(Folhas_de_pagamento!$E$3:$E$296),0)</f>
        <v>2149081.6088435375</v>
      </c>
      <c r="J19" s="15" t="s">
        <v>42</v>
      </c>
      <c r="K19" s="17">
        <f>LARGE(Folhas_de_pagamento!$G$3:$G$296,1)</f>
        <v>241128402</v>
      </c>
      <c r="L19" s="17">
        <f>LARGE(Folhas_de_pagamento!$E$3:$E$296,1)</f>
        <v>8109912</v>
      </c>
    </row>
    <row r="20" spans="2:12" x14ac:dyDescent="0.3">
      <c r="J20" s="26" t="s">
        <v>43</v>
      </c>
      <c r="K20" s="27">
        <f>SMALL(Folhas_de_pagamento!$G$3:$G$296,1)</f>
        <v>1440000</v>
      </c>
      <c r="L20" s="27">
        <f>SMALL(Folhas_de_pagamento!$E$3:$E$296,1)</f>
        <v>42353</v>
      </c>
    </row>
    <row r="21" spans="2:12" ht="24" customHeight="1" x14ac:dyDescent="0.3">
      <c r="B21" s="5" t="s">
        <v>44</v>
      </c>
      <c r="C21" s="5"/>
      <c r="D21" s="5"/>
      <c r="F21" s="5" t="s">
        <v>45</v>
      </c>
      <c r="G21" s="5"/>
      <c r="H21" s="5"/>
      <c r="J21" s="15" t="s">
        <v>46</v>
      </c>
      <c r="K21" s="28">
        <f>COUNTIF(Folhas_de_pagamento!$G$3:$G$296,"&gt;"&amp;AVERAGE(Folhas_de_pagamento!$G$3:$G$296))</f>
        <v>143</v>
      </c>
      <c r="L21" s="28">
        <f>COUNTIF(Folhas_de_pagamento!$E$3:$E$296,"&gt;"&amp;AVERAGE(Folhas_de_pagamento!$E$3:$E$296))</f>
        <v>134</v>
      </c>
    </row>
    <row r="22" spans="2:12" ht="31.5" customHeight="1" x14ac:dyDescent="0.3">
      <c r="B22" s="29" t="s">
        <v>3</v>
      </c>
      <c r="C22" s="29" t="s">
        <v>47</v>
      </c>
      <c r="D22" s="29" t="s">
        <v>48</v>
      </c>
      <c r="F22" s="29" t="s">
        <v>6</v>
      </c>
      <c r="G22" s="29" t="s">
        <v>49</v>
      </c>
      <c r="H22" s="29" t="s">
        <v>8</v>
      </c>
      <c r="J22" s="26" t="s">
        <v>50</v>
      </c>
      <c r="K22" s="30">
        <f>COUNTIF(Folhas_de_pagamento!$G$3:$G$296,"&lt;"&amp;AVERAGE(Folhas_de_pagamento!$G$3:$G$296))</f>
        <v>151</v>
      </c>
      <c r="L22" s="30">
        <f>COUNTIF(Folhas_de_pagamento!$E$3:$E$296,"&lt;"&amp;AVERAGE(Folhas_de_pagamento!$E$3:$E$296))</f>
        <v>160</v>
      </c>
    </row>
    <row r="23" spans="2:12" x14ac:dyDescent="0.3">
      <c r="B23" s="9" t="s">
        <v>11</v>
      </c>
      <c r="C23" s="11">
        <f>IFERROR(AVERAGEIF(Folhas_de_pagamento!$D$3:$D$296,"* "&amp;B23,Folhas_de_pagamento!$E$3:$E$296),0)</f>
        <v>228012.83333333334</v>
      </c>
      <c r="D23" s="10">
        <f t="shared" ref="D23:D37" si="0">IFERROR(RANK(C23,$C$23:$C$37,0),"-")</f>
        <v>13</v>
      </c>
      <c r="F23" s="9" t="str">
        <f>IFERROR(INDEX(Salários!$A$3:$A$102,MATCH(LARGE(Salários!$C$3:$C$102,1),Salários!$C$3:$C$102,0)),"-")</f>
        <v>Floyd Mayweather</v>
      </c>
      <c r="G23" s="11">
        <f>IFERROR(LARGE(Salários!$C$3:$C$102,1),0)</f>
        <v>105000000</v>
      </c>
      <c r="H23" s="19" t="str">
        <f>IFERROR(INDEX(Salários!$E$3:$E$102,MATCH(LARGE(Salários!$C$3:$C$102,1),Salários!$C$3:$C$102,0)),"-")</f>
        <v>Boxing</v>
      </c>
      <c r="J23" s="15" t="s">
        <v>51</v>
      </c>
      <c r="K23" s="31" t="str">
        <f>IFERROR(INDEX(Folhas_de_pagamento!$C$3:$C$296,MATCH(LARGE(Folhas_de_pagamento!$G$3:$G$296,1),Folhas_de_pagamento!$G$3:$G$296,0)),"-")</f>
        <v>Los Angeles Dodgers</v>
      </c>
      <c r="L23" s="31" t="str">
        <f>IFERROR(INDEX(Folhas_de_pagamento!$C$3:$C$296,MATCH(LARGE(Folhas_de_pagamento!$E$3:$E$296,1),Folhas_de_pagamento!$E$3:$E$296,0)),"-")</f>
        <v>Manchester City</v>
      </c>
    </row>
    <row r="24" spans="2:12" x14ac:dyDescent="0.3">
      <c r="B24" s="15" t="s">
        <v>13</v>
      </c>
      <c r="C24" s="17">
        <f>IFERROR(AVERAGEIF(Folhas_de_pagamento!$D$3:$D$296,"* "&amp;B24,Folhas_de_pagamento!$E$3:$E$296),0)</f>
        <v>2203351.388888889</v>
      </c>
      <c r="D24" s="16">
        <f t="shared" si="0"/>
        <v>6</v>
      </c>
      <c r="F24" s="15" t="str">
        <f>IFERROR(INDEX(Salários!$A$3:$A$102,MATCH(LARGE(Salários!$C$3:$C$102,2),Salários!$C$3:$C$102,0)),"-")</f>
        <v>Cristiano Ronaldo</v>
      </c>
      <c r="G24" s="17">
        <f>IFERROR(LARGE(Salários!$C$3:$C$102,2),0)</f>
        <v>52000000</v>
      </c>
      <c r="H24" s="18" t="str">
        <f>IFERROR(INDEX(Salários!$E$3:$E$102,MATCH(LARGE(Salários!$C$3:$C$102,2),Salários!$C$3:$C$102,0)),"-")</f>
        <v>Soccer</v>
      </c>
      <c r="J24" s="26" t="s">
        <v>52</v>
      </c>
      <c r="K24" s="32" t="str">
        <f>IFERROR(INDEX(Folhas_de_pagamento!$C$3:$C$296,MATCH(SMALL(Folhas_de_pagamento!$G$3:$G$296,1),Folhas_de_pagamento!$G$3:$G$296,0)),"-")</f>
        <v>Shanghai Dongya</v>
      </c>
      <c r="L24" s="32" t="str">
        <f>IFERROR(INDEX(Folhas_de_pagamento!$C$3:$C$296,MATCH(SMALL(Folhas_de_pagamento!$E$3:$E$296,1),Folhas_de_pagamento!$E$3:$E$296,0)),"-")</f>
        <v>Shanghai Dongya</v>
      </c>
    </row>
    <row r="25" spans="2:12" x14ac:dyDescent="0.3">
      <c r="B25" s="9" t="s">
        <v>15</v>
      </c>
      <c r="C25" s="11">
        <f>IFERROR(AVERAGEIF(Folhas_de_pagamento!$D$3:$D$296,"* "&amp;B25,Folhas_de_pagamento!$E$3:$E$296),0)</f>
        <v>106991</v>
      </c>
      <c r="D25" s="10">
        <f t="shared" si="0"/>
        <v>15</v>
      </c>
      <c r="F25" s="9" t="str">
        <f>IFERROR(INDEX(Salários!$A$3:$A$102,MATCH(LARGE(Salários!$C$3:$C$102,3),Salários!$C$3:$C$102,0)),"-")</f>
        <v>Matt Ryan</v>
      </c>
      <c r="G25" s="11">
        <f>IFERROR(LARGE(Salários!$C$3:$C$102,3),0)</f>
        <v>42000000</v>
      </c>
      <c r="H25" s="19" t="str">
        <f>IFERROR(INDEX(Salários!$E$3:$E$102,MATCH(LARGE(Salários!$C$3:$C$102,3),Salários!$C$3:$C$102,0)),"-")</f>
        <v>Football</v>
      </c>
    </row>
    <row r="26" spans="2:12" x14ac:dyDescent="0.3">
      <c r="B26" s="15" t="s">
        <v>17</v>
      </c>
      <c r="C26" s="17">
        <f>IFERROR(AVERAGEIF(Folhas_de_pagamento!$D$3:$D$296,"* "&amp;B26,Folhas_de_pagamento!$E$3:$E$296),0)</f>
        <v>318904.375</v>
      </c>
      <c r="D26" s="16">
        <f t="shared" si="0"/>
        <v>11</v>
      </c>
      <c r="F26" s="15" t="str">
        <f>IFERROR(INDEX(Salários!$A$3:$A$102,MATCH(LARGE(Salários!$C$3:$C$102,4),Salários!$C$3:$C$102,0)),"-")</f>
        <v>Lionel Messi</v>
      </c>
      <c r="G26" s="17">
        <f>IFERROR(LARGE(Salários!$C$3:$C$102,4),0)</f>
        <v>41700000</v>
      </c>
      <c r="H26" s="18" t="str">
        <f>IFERROR(INDEX(Salários!$E$3:$E$102,MATCH(LARGE(Salários!$C$3:$C$102,4),Salários!$C$3:$C$102,0)),"-")</f>
        <v>Soccer</v>
      </c>
    </row>
    <row r="27" spans="2:12" ht="24" customHeight="1" x14ac:dyDescent="0.3">
      <c r="B27" s="9" t="s">
        <v>19</v>
      </c>
      <c r="C27" s="11">
        <f>IFERROR(AVERAGEIF(Folhas_de_pagamento!$D$3:$D$296,"* "&amp;B27,Folhas_de_pagamento!$E$3:$E$296),0)</f>
        <v>3453778.8</v>
      </c>
      <c r="D27" s="10">
        <f t="shared" si="0"/>
        <v>4</v>
      </c>
      <c r="F27" s="9" t="str">
        <f>IFERROR(INDEX(Salários!$A$3:$A$102,MATCH(LARGE(Salários!$C$3:$C$102,5),Salários!$C$3:$C$102,0)),"-")</f>
        <v>Manny Pacquiao</v>
      </c>
      <c r="G27" s="11">
        <f>IFERROR(LARGE(Salários!$C$3:$C$102,5),0)</f>
        <v>41000000</v>
      </c>
      <c r="H27" s="19" t="str">
        <f>IFERROR(INDEX(Salários!$E$3:$E$102,MATCH(LARGE(Salários!$C$3:$C$102,5),Salários!$C$3:$C$102,0)),"-")</f>
        <v>Boxing</v>
      </c>
      <c r="J27" s="6" t="s">
        <v>53</v>
      </c>
      <c r="K27" s="6"/>
      <c r="L27" s="6"/>
    </row>
    <row r="28" spans="2:12" ht="31.5" customHeight="1" x14ac:dyDescent="0.3">
      <c r="B28" s="15" t="s">
        <v>21</v>
      </c>
      <c r="C28" s="17">
        <f>IFERROR(AVERAGEIF(Folhas_de_pagamento!$D$3:$D$296,"* "&amp;B28,Folhas_de_pagamento!$E$3:$E$296),0)</f>
        <v>3650346.222222222</v>
      </c>
      <c r="D28" s="16">
        <f t="shared" si="0"/>
        <v>3</v>
      </c>
      <c r="F28" s="15" t="str">
        <f>IFERROR(INDEX(Salários!$A$3:$A$102,MATCH(LARGE(Salários!$C$3:$C$102,6),Salários!$C$3:$C$102,0)),"-")</f>
        <v>Zlatan Ibrahimovic</v>
      </c>
      <c r="G28" s="17">
        <f>IFERROR(LARGE(Salários!$C$3:$C$102,6),0)</f>
        <v>36400000</v>
      </c>
      <c r="H28" s="18" t="str">
        <f>IFERROR(INDEX(Salários!$E$3:$E$102,MATCH(LARGE(Salários!$C$3:$C$102,6),Salários!$C$3:$C$102,0)),"-")</f>
        <v>Soccer</v>
      </c>
      <c r="J28" s="20" t="s">
        <v>36</v>
      </c>
      <c r="K28" s="20" t="s">
        <v>54</v>
      </c>
      <c r="L28" s="20" t="s">
        <v>55</v>
      </c>
    </row>
    <row r="29" spans="2:12" x14ac:dyDescent="0.3">
      <c r="B29" s="9" t="s">
        <v>23</v>
      </c>
      <c r="C29" s="11">
        <f>IFERROR(AVERAGEIF(Folhas_de_pagamento!$D$3:$D$296,"* "&amp;B29,Folhas_de_pagamento!$E$3:$E$296),0)</f>
        <v>1831734.5</v>
      </c>
      <c r="D29" s="10">
        <f t="shared" si="0"/>
        <v>9</v>
      </c>
      <c r="F29" s="9" t="str">
        <f>IFERROR(INDEX(Salários!$A$3:$A$102,MATCH(LARGE(Salários!$C$3:$C$102,7),Salários!$C$3:$C$102,0)),"-")</f>
        <v>Radamel Falcao</v>
      </c>
      <c r="G29" s="11">
        <f>IFERROR(LARGE(Salários!$C$3:$C$102,7),0)</f>
        <v>32400000</v>
      </c>
      <c r="H29" s="19" t="str">
        <f>IFERROR(INDEX(Salários!$E$3:$E$102,MATCH(LARGE(Salários!$C$3:$C$102,7),Salários!$C$3:$C$102,0)),"-")</f>
        <v>Soccer</v>
      </c>
      <c r="J29" s="26" t="s">
        <v>56</v>
      </c>
      <c r="K29" s="27">
        <f>AVERAGE(Salários!$B$3:$B$102)</f>
        <v>27516000</v>
      </c>
      <c r="L29" s="27">
        <f>IFERROR(AVERAGEIF(Salários!$D$3:$D$102,"&gt;"&amp;0),0)</f>
        <v>7489747.4747474743</v>
      </c>
    </row>
    <row r="30" spans="2:12" x14ac:dyDescent="0.3">
      <c r="B30" s="15" t="s">
        <v>25</v>
      </c>
      <c r="C30" s="17">
        <f>IFERROR(AVERAGEIF(Folhas_de_pagamento!$D$3:$D$296,"* "&amp;B30,Folhas_de_pagamento!$E$3:$E$296),0)</f>
        <v>3935364.2333333334</v>
      </c>
      <c r="D30" s="16">
        <f t="shared" si="0"/>
        <v>2</v>
      </c>
      <c r="F30" s="15" t="str">
        <f>IFERROR(INDEX(Salários!$A$3:$A$102,MATCH(LARGE(Salários!$C$3:$C$102,8),Salários!$C$3:$C$102,0)),"-")</f>
        <v>Matthew Stafford</v>
      </c>
      <c r="G30" s="17">
        <f>IFERROR(LARGE(Salários!$C$3:$C$102,8),0)</f>
        <v>31500000</v>
      </c>
      <c r="H30" s="18" t="str">
        <f>IFERROR(INDEX(Salários!$E$3:$E$102,MATCH(LARGE(Salários!$C$3:$C$102,8),Salários!$C$3:$C$102,0)),"-")</f>
        <v>Football</v>
      </c>
      <c r="J30" s="15" t="s">
        <v>42</v>
      </c>
      <c r="K30" s="17">
        <f>LARGE(Salários!$B$3:$B$102,1)</f>
        <v>105000000</v>
      </c>
      <c r="L30" s="17">
        <f>LARGE(Salários!$D$3:$D$102,1)</f>
        <v>55000000</v>
      </c>
    </row>
    <row r="31" spans="2:12" x14ac:dyDescent="0.3">
      <c r="B31" s="9" t="s">
        <v>27</v>
      </c>
      <c r="C31" s="11">
        <f>IFERROR(AVERAGEIF(Folhas_de_pagamento!$D$3:$D$296,"* "&amp;B31,Folhas_de_pagamento!$E$3:$E$296),0)</f>
        <v>196291.52631578947</v>
      </c>
      <c r="D31" s="10">
        <f t="shared" si="0"/>
        <v>14</v>
      </c>
      <c r="F31" s="9" t="str">
        <f>IFERROR(INDEX(Salários!$A$3:$A$102,MATCH(LARGE(Salários!$C$3:$C$102,9),Salários!$C$3:$C$102,0)),"-")</f>
        <v>Kobe Bryant</v>
      </c>
      <c r="G31" s="11">
        <f>IFERROR(LARGE(Salários!$C$3:$C$102,9),0)</f>
        <v>30500000</v>
      </c>
      <c r="H31" s="19" t="str">
        <f>IFERROR(INDEX(Salários!$E$3:$E$102,MATCH(LARGE(Salários!$C$3:$C$102,9),Salários!$C$3:$C$102,0)),"-")</f>
        <v>Basketball</v>
      </c>
      <c r="J31" s="26" t="s">
        <v>57</v>
      </c>
      <c r="K31" s="32" t="str">
        <f>IFERROR(INDEX(Salários!$A$3:$A$102,MATCH(LARGE(Salários!$B$3:$B$102,1),Salários!$B$3:$B$102,0)),"-")</f>
        <v>Floyd Mayweather</v>
      </c>
      <c r="L31" s="32" t="str">
        <f>IFERROR(INDEX(Salários!$A$3:$A$102,MATCH(LARGE(Salários!$D$3:$D$102,1),Salários!$D$3:$D$102,0)),"-")</f>
        <v>Tiger Woods</v>
      </c>
    </row>
    <row r="32" spans="2:12" x14ac:dyDescent="0.3">
      <c r="B32" s="15" t="s">
        <v>29</v>
      </c>
      <c r="C32" s="17">
        <f>IFERROR(AVERAGEIF(Folhas_de_pagamento!$D$3:$D$296,"* "&amp;B32,Folhas_de_pagamento!$E$3:$E$296),0)</f>
        <v>4530724.1333333338</v>
      </c>
      <c r="D32" s="16">
        <f t="shared" si="0"/>
        <v>1</v>
      </c>
      <c r="F32" s="15" t="str">
        <f>IFERROR(INDEX(Salários!$A$3:$A$102,MATCH(LARGE(Salários!$C$3:$C$102,10),Salários!$C$3:$C$102,0)),"-")</f>
        <v>Lewis Hamilton</v>
      </c>
      <c r="G32" s="17">
        <f>IFERROR(LARGE(Salários!$C$3:$C$102,10),0)</f>
        <v>29000000</v>
      </c>
      <c r="H32" s="18" t="str">
        <f>IFERROR(INDEX(Salários!$E$3:$E$102,MATCH(LARGE(Salários!$C$3:$C$102,10),Salários!$C$3:$C$102,0)),"-")</f>
        <v>Racing</v>
      </c>
      <c r="J32" s="15" t="s">
        <v>58</v>
      </c>
      <c r="K32" s="28">
        <f>COUNTIF(Salários!$B$3:$B$102,"&gt;"&amp;AVERAGE(Salários!$B$3:$B$102))</f>
        <v>25</v>
      </c>
      <c r="L32" s="28">
        <f>COUNTIF(Salários!$D$3:$D$102,"&gt;"&amp;AVERAGE(Salários!$D$3:$D$102))</f>
        <v>28</v>
      </c>
    </row>
    <row r="33" spans="2:12" x14ac:dyDescent="0.3">
      <c r="B33" s="9" t="s">
        <v>31</v>
      </c>
      <c r="C33" s="11">
        <f>IFERROR(AVERAGEIF(Folhas_de_pagamento!$D$3:$D$296,"* "&amp;B33,Folhas_de_pagamento!$E$3:$E$296),0)</f>
        <v>1955966.21875</v>
      </c>
      <c r="D33" s="10">
        <f t="shared" si="0"/>
        <v>8</v>
      </c>
      <c r="F33" s="9" t="str">
        <f>IFERROR(INDEX(Salários!$A$3:$A$102,MATCH(LARGE(Salários!$C$3:$C$102,11),Salários!$C$3:$C$102,0)),"-")</f>
        <v>Lewis Hamilton</v>
      </c>
      <c r="G33" s="11">
        <f>IFERROR(LARGE(Salários!$C$3:$C$102,11),0)</f>
        <v>29000000</v>
      </c>
      <c r="H33" s="19" t="str">
        <f>IFERROR(INDEX(Salários!$E$3:$E$102,MATCH(LARGE(Salários!$C$3:$C$102,11),Salários!$C$3:$C$102,0)),"-")</f>
        <v>Racing</v>
      </c>
      <c r="J33" s="26" t="s">
        <v>59</v>
      </c>
      <c r="K33" s="30">
        <f>COUNTIF(Salários!$B$3:$B$102,"&lt;"&amp;AVERAGE(Salários!$B$3:$B$102))</f>
        <v>75</v>
      </c>
      <c r="L33" s="30">
        <f>COUNTIF(Salários!$D$3:$D$102,"&gt;"&amp;0)</f>
        <v>99</v>
      </c>
    </row>
    <row r="34" spans="2:12" x14ac:dyDescent="0.3">
      <c r="B34" s="15" t="s">
        <v>32</v>
      </c>
      <c r="C34" s="17">
        <f>IFERROR(AVERAGEIF(Folhas_de_pagamento!$D$3:$D$296,"* "&amp;B34,Folhas_de_pagamento!$E$3:$E$296),0)</f>
        <v>2429934.7333333334</v>
      </c>
      <c r="D34" s="16">
        <f t="shared" si="0"/>
        <v>5</v>
      </c>
      <c r="F34" s="15" t="str">
        <f>IFERROR(INDEX(Salários!$A$3:$A$102,MATCH(LARGE(Salários!$C$3:$C$102,12),Salários!$C$3:$C$102,0)),"-")</f>
        <v>Gareth Bale</v>
      </c>
      <c r="G34" s="17">
        <f>IFERROR(LARGE(Salários!$C$3:$C$102,12),0)</f>
        <v>25400000</v>
      </c>
      <c r="H34" s="18" t="str">
        <f>IFERROR(INDEX(Salários!$E$3:$E$102,MATCH(LARGE(Salários!$C$3:$C$102,12),Salários!$C$3:$C$102,0)),"-")</f>
        <v>Soccer</v>
      </c>
    </row>
    <row r="35" spans="2:12" x14ac:dyDescent="0.3">
      <c r="B35" s="9" t="s">
        <v>33</v>
      </c>
      <c r="C35" s="11">
        <f>IFERROR(AVERAGEIF(Folhas_de_pagamento!$D$3:$D$296,"* "&amp;B35,Folhas_de_pagamento!$E$3:$E$296),0)</f>
        <v>604940.08333333337</v>
      </c>
      <c r="D35" s="10">
        <f t="shared" si="0"/>
        <v>10</v>
      </c>
      <c r="F35" s="9" t="str">
        <f>IFERROR(INDEX(Salários!$A$3:$A$102,MATCH(LARGE(Salários!$C$3:$C$102,13),Salários!$C$3:$C$102,0)),"-")</f>
        <v>Cliff Lee</v>
      </c>
      <c r="G35" s="11">
        <f>IFERROR(LARGE(Salários!$C$3:$C$102,13),0)</f>
        <v>25100000</v>
      </c>
      <c r="H35" s="19" t="str">
        <f>IFERROR(INDEX(Salários!$E$3:$E$102,MATCH(LARGE(Salários!$C$3:$C$102,13),Salários!$C$3:$C$102,0)),"-")</f>
        <v>Baseball</v>
      </c>
    </row>
    <row r="36" spans="2:12" x14ac:dyDescent="0.3">
      <c r="B36" s="15" t="s">
        <v>35</v>
      </c>
      <c r="C36" s="17">
        <f>IFERROR(AVERAGEIF(Folhas_de_pagamento!$D$3:$D$296,"* "&amp;B36,Folhas_de_pagamento!$E$3:$E$296),0)</f>
        <v>277709.91666666669</v>
      </c>
      <c r="D36" s="16">
        <f t="shared" si="0"/>
        <v>12</v>
      </c>
      <c r="F36" s="15" t="str">
        <f>IFERROR(INDEX(Salários!$A$3:$A$102,MATCH(LARGE(Salários!$C$3:$C$102,14),Salários!$C$3:$C$102,0)),"-")</f>
        <v>Zack Greinke</v>
      </c>
      <c r="G36" s="17">
        <f>IFERROR(LARGE(Salários!$C$3:$C$102,14),0)</f>
        <v>24400000</v>
      </c>
      <c r="H36" s="18" t="str">
        <f>IFERROR(INDEX(Salários!$E$3:$E$102,MATCH(LARGE(Salários!$C$3:$C$102,14),Salários!$C$3:$C$102,0)),"-")</f>
        <v>Baseball</v>
      </c>
    </row>
    <row r="37" spans="2:12" x14ac:dyDescent="0.3">
      <c r="B37" s="9" t="s">
        <v>39</v>
      </c>
      <c r="C37" s="11">
        <f>IFERROR(AVERAGEIF(Folhas_de_pagamento!$D$3:$D$296,"* "&amp;B37,Folhas_de_pagamento!$E$3:$E$296),0)</f>
        <v>1987535.3</v>
      </c>
      <c r="D37" s="10">
        <f t="shared" si="0"/>
        <v>7</v>
      </c>
      <c r="F37" s="9" t="str">
        <f>IFERROR(INDEX(Salários!$A$3:$A$102,MATCH(LARGE(Salários!$C$3:$C$102,15),Salários!$C$3:$C$102,0)),"-")</f>
        <v>Wladimir Klitschko</v>
      </c>
      <c r="G37" s="11">
        <f>IFERROR(LARGE(Salários!$C$3:$C$102,15),0)</f>
        <v>24000000</v>
      </c>
      <c r="H37" s="19" t="str">
        <f>IFERROR(INDEX(Salários!$E$3:$E$102,MATCH(LARGE(Salários!$C$3:$C$102,15),Salários!$C$3:$C$102,0)),"-")</f>
        <v>Boxing</v>
      </c>
    </row>
    <row r="40" spans="2:12" ht="24" customHeight="1" x14ac:dyDescent="0.3">
      <c r="B40" s="4" t="s">
        <v>60</v>
      </c>
      <c r="C40" s="4"/>
      <c r="D40" s="4"/>
      <c r="F40" s="3" t="s">
        <v>61</v>
      </c>
      <c r="G40" s="3"/>
      <c r="H40" s="3"/>
    </row>
    <row r="41" spans="2:12" ht="31.5" customHeight="1" x14ac:dyDescent="0.3">
      <c r="B41" s="33" t="s">
        <v>62</v>
      </c>
      <c r="C41" s="33" t="s">
        <v>3</v>
      </c>
      <c r="D41" s="33" t="s">
        <v>63</v>
      </c>
      <c r="F41" s="34" t="s">
        <v>6</v>
      </c>
      <c r="G41" s="34" t="s">
        <v>64</v>
      </c>
      <c r="H41" s="34" t="s">
        <v>8</v>
      </c>
    </row>
    <row r="42" spans="2:12" x14ac:dyDescent="0.3">
      <c r="B42" s="35" t="str">
        <f>IFERROR(INDEX(Folhas_de_pagamento!$C$3:$C$296,MATCH(LARGE(Folhas_de_pagamento!$F$3:$F$296,1),Folhas_de_pagamento!$F$3:$F$296,0)),"-")</f>
        <v>Houston Astros</v>
      </c>
      <c r="C42" s="35" t="str">
        <f>IFERROR(TRIM(INDEX(Folhas_de_pagamento!$D$3:$D$296,MATCH(LARGE(Folhas_de_pagamento!$F$3:$F$296,1),Folhas_de_pagamento!$F$3:$F$296,0))),"-")</f>
        <v>MLB</v>
      </c>
      <c r="D42" s="36">
        <f>IFERROR(LARGE(Folhas_de_pagamento!$F$3:$F$296,1)/100,0)</f>
        <v>9.6600000000000002E-3</v>
      </c>
      <c r="F42" s="37" t="str">
        <f>IFERROR(INDEX(Salários!$A$3:$A$102,MATCH(LARGE(Salários!$D$3:$D$102,1),Salários!$D$3:$D$102,0)),"-")</f>
        <v>Tiger Woods</v>
      </c>
      <c r="G42" s="38">
        <f>IFERROR(LARGE(Salários!$D$3:$D$102,1),0)</f>
        <v>55000000</v>
      </c>
      <c r="H42" s="39" t="str">
        <f>IFERROR(INDEX(Salários!$E$3:$E$102,MATCH(LARGE(Salários!$D$3:$D$102,1),Salários!$D$3:$D$102,0)),"-")</f>
        <v>Golf</v>
      </c>
    </row>
    <row r="43" spans="2:12" x14ac:dyDescent="0.3">
      <c r="B43" s="15" t="str">
        <f>IFERROR(INDEX(Folhas_de_pagamento!$C$3:$C$296,MATCH(LARGE(Folhas_de_pagamento!$F$3:$F$296,2),Folhas_de_pagamento!$F$3:$F$296,0)),"-")</f>
        <v>Seattle Sounders</v>
      </c>
      <c r="C43" s="15" t="str">
        <f>IFERROR(TRIM(INDEX(Folhas_de_pagamento!$D$3:$D$296,MATCH(LARGE(Folhas_de_pagamento!$F$3:$F$296,2),Folhas_de_pagamento!$F$3:$F$296,0))),"-")</f>
        <v>MLS</v>
      </c>
      <c r="D43" s="40">
        <f>IFERROR(LARGE(Folhas_de_pagamento!$F$3:$F$296,2)/100,0)</f>
        <v>8.9600000000000009E-3</v>
      </c>
      <c r="F43" s="15" t="str">
        <f>IFERROR(INDEX(Salários!$A$3:$A$102,MATCH(LARGE(Salários!$D$3:$D$102,2),Salários!$D$3:$D$102,0)),"-")</f>
        <v>LeBron James</v>
      </c>
      <c r="G43" s="17">
        <f>IFERROR(LARGE(Salários!$D$3:$D$102,2),0)</f>
        <v>53000000</v>
      </c>
      <c r="H43" s="18" t="str">
        <f>IFERROR(INDEX(Salários!$E$3:$E$102,MATCH(LARGE(Salários!$D$3:$D$102,2),Salários!$D$3:$D$102,0)),"-")</f>
        <v>Basketball</v>
      </c>
    </row>
    <row r="44" spans="2:12" x14ac:dyDescent="0.3">
      <c r="B44" s="35" t="str">
        <f>IFERROR(INDEX(Folhas_de_pagamento!$C$3:$C$296,MATCH(LARGE(Folhas_de_pagamento!$F$3:$F$296,3),Folhas_de_pagamento!$F$3:$F$296,0)),"-")</f>
        <v>Houston Rockets</v>
      </c>
      <c r="C44" s="35" t="str">
        <f>IFERROR(TRIM(INDEX(Folhas_de_pagamento!$D$3:$D$296,MATCH(LARGE(Folhas_de_pagamento!$F$3:$F$296,3),Folhas_de_pagamento!$F$3:$F$296,0))),"-")</f>
        <v>NBA</v>
      </c>
      <c r="D44" s="36">
        <f>IFERROR(LARGE(Folhas_de_pagamento!$F$3:$F$296,3)/100,0)</f>
        <v>5.0800000000000003E-3</v>
      </c>
      <c r="F44" s="37" t="str">
        <f>IFERROR(INDEX(Salários!$A$3:$A$102,MATCH(LARGE(Salários!$D$3:$D$102,3),Salários!$D$3:$D$102,0)),"-")</f>
        <v>Roger Federer</v>
      </c>
      <c r="G44" s="38">
        <f>IFERROR(LARGE(Salários!$D$3:$D$102,3),0)</f>
        <v>52000000</v>
      </c>
      <c r="H44" s="39" t="str">
        <f>IFERROR(INDEX(Salários!$E$3:$E$102,MATCH(LARGE(Salários!$D$3:$D$102,3),Salários!$D$3:$D$102,0)),"-")</f>
        <v>Tennis</v>
      </c>
    </row>
    <row r="45" spans="2:12" x14ac:dyDescent="0.3">
      <c r="B45" s="15" t="str">
        <f>IFERROR(INDEX(Folhas_de_pagamento!$C$3:$C$296,MATCH(LARGE(Folhas_de_pagamento!$F$3:$F$296,4),Folhas_de_pagamento!$F$3:$F$296,0)),"-")</f>
        <v>New Orleans Pelicans</v>
      </c>
      <c r="C45" s="15" t="str">
        <f>IFERROR(TRIM(INDEX(Folhas_de_pagamento!$D$3:$D$296,MATCH(LARGE(Folhas_de_pagamento!$F$3:$F$296,4),Folhas_de_pagamento!$F$3:$F$296,0))),"-")</f>
        <v>NBA</v>
      </c>
      <c r="D45" s="40">
        <f>IFERROR(LARGE(Folhas_de_pagamento!$F$3:$F$296,4)/100,0)</f>
        <v>3.9399999999999999E-3</v>
      </c>
      <c r="F45" s="15" t="str">
        <f>IFERROR(INDEX(Salários!$A$3:$A$102,MATCH(LARGE(Salários!$D$3:$D$102,4),Salários!$D$3:$D$102,0)),"-")</f>
        <v>Phil Mickelson</v>
      </c>
      <c r="G45" s="17">
        <f>IFERROR(LARGE(Salários!$D$3:$D$102,4),0)</f>
        <v>48000000</v>
      </c>
      <c r="H45" s="18" t="str">
        <f>IFERROR(INDEX(Salários!$E$3:$E$102,MATCH(LARGE(Salários!$D$3:$D$102,4),Salários!$D$3:$D$102,0)),"-")</f>
        <v>Golf</v>
      </c>
    </row>
    <row r="46" spans="2:12" x14ac:dyDescent="0.3">
      <c r="B46" s="35" t="str">
        <f>IFERROR(INDEX(Folhas_de_pagamento!$C$3:$C$296,MATCH(LARGE(Folhas_de_pagamento!$F$3:$F$296,5),Folhas_de_pagamento!$F$3:$F$296,0)),"-")</f>
        <v>Milwaukee Brewers</v>
      </c>
      <c r="C46" s="35" t="str">
        <f>IFERROR(TRIM(INDEX(Folhas_de_pagamento!$D$3:$D$296,MATCH(LARGE(Folhas_de_pagamento!$F$3:$F$296,5),Folhas_de_pagamento!$F$3:$F$296,0))),"-")</f>
        <v>MLB</v>
      </c>
      <c r="D46" s="36">
        <f>IFERROR(LARGE(Folhas_de_pagamento!$F$3:$F$296,5)/100,0)</f>
        <v>3.7599999999999999E-3</v>
      </c>
      <c r="F46" s="37" t="str">
        <f>IFERROR(INDEX(Salários!$A$3:$A$102,MATCH(LARGE(Salários!$D$3:$D$102,5),Salários!$D$3:$D$102,0)),"-")</f>
        <v>Kobe Bryant</v>
      </c>
      <c r="G46" s="38">
        <f>IFERROR(LARGE(Salários!$D$3:$D$102,5),0)</f>
        <v>31000000</v>
      </c>
      <c r="H46" s="39" t="str">
        <f>IFERROR(INDEX(Salários!$E$3:$E$102,MATCH(LARGE(Salários!$D$3:$D$102,5),Salários!$D$3:$D$102,0)),"-")</f>
        <v>Basketball</v>
      </c>
    </row>
    <row r="47" spans="2:12" x14ac:dyDescent="0.3">
      <c r="B47" s="15" t="str">
        <f>IFERROR(INDEX(Folhas_de_pagamento!$C$3:$C$296,MATCH(LARGE(Folhas_de_pagamento!$F$3:$F$296,6),Folhas_de_pagamento!$F$3:$F$296,0)),"-")</f>
        <v>Miami Marlins</v>
      </c>
      <c r="C47" s="15" t="str">
        <f>IFERROR(TRIM(INDEX(Folhas_de_pagamento!$D$3:$D$296,MATCH(LARGE(Folhas_de_pagamento!$F$3:$F$296,6),Folhas_de_pagamento!$F$3:$F$296,0))),"-")</f>
        <v>MLB</v>
      </c>
      <c r="D47" s="40">
        <f>IFERROR(LARGE(Folhas_de_pagamento!$F$3:$F$296,6)/100,0)</f>
        <v>3.64E-3</v>
      </c>
      <c r="F47" s="15" t="str">
        <f>IFERROR(INDEX(Salários!$A$3:$A$102,MATCH(LARGE(Salários!$D$3:$D$102,6),Salários!$D$3:$D$102,0)),"-")</f>
        <v>Rafael Nadal</v>
      </c>
      <c r="G47" s="17">
        <f>IFERROR(LARGE(Salários!$D$3:$D$102,6),0)</f>
        <v>30000000</v>
      </c>
      <c r="H47" s="18" t="str">
        <f>IFERROR(INDEX(Salários!$E$3:$E$102,MATCH(LARGE(Salários!$D$3:$D$102,6),Salários!$D$3:$D$102,0)),"-")</f>
        <v>Tennis</v>
      </c>
    </row>
    <row r="48" spans="2:12" x14ac:dyDescent="0.3">
      <c r="B48" s="35" t="str">
        <f>IFERROR(INDEX(Folhas_de_pagamento!$C$3:$C$296,MATCH(LARGE(Folhas_de_pagamento!$F$3:$F$296,7),Folhas_de_pagamento!$F$3:$F$296,0)),"-")</f>
        <v>Roma</v>
      </c>
      <c r="C48" s="35" t="str">
        <f>IFERROR(TRIM(INDEX(Folhas_de_pagamento!$D$3:$D$296,MATCH(LARGE(Folhas_de_pagamento!$F$3:$F$296,7),Folhas_de_pagamento!$F$3:$F$296,0))),"-")</f>
        <v>Serie A</v>
      </c>
      <c r="D48" s="36">
        <f>IFERROR(LARGE(Folhas_de_pagamento!$F$3:$F$296,7)/100,0)</f>
        <v>3.5299999999999997E-3</v>
      </c>
      <c r="F48" s="37" t="str">
        <f>IFERROR(INDEX(Salários!$A$3:$A$102,MATCH(LARGE(Salários!$D$3:$D$102,7),Salários!$D$3:$D$102,0)),"-")</f>
        <v>Cristiano Ronaldo</v>
      </c>
      <c r="G48" s="38">
        <f>IFERROR(LARGE(Salários!$D$3:$D$102,7),0)</f>
        <v>28000000</v>
      </c>
      <c r="H48" s="39" t="str">
        <f>IFERROR(INDEX(Salários!$E$3:$E$102,MATCH(LARGE(Salários!$D$3:$D$102,7),Salários!$D$3:$D$102,0)),"-")</f>
        <v>Soccer</v>
      </c>
    </row>
    <row r="49" spans="2:8" x14ac:dyDescent="0.3">
      <c r="B49" s="15" t="str">
        <f>IFERROR(INDEX(Folhas_de_pagamento!$C$3:$C$296,MATCH(LARGE(Folhas_de_pagamento!$F$3:$F$296,8),Folhas_de_pagamento!$F$3:$F$296,0)),"-")</f>
        <v>Roma</v>
      </c>
      <c r="C49" s="15" t="str">
        <f>IFERROR(TRIM(INDEX(Folhas_de_pagamento!$D$3:$D$296,MATCH(LARGE(Folhas_de_pagamento!$F$3:$F$296,8),Folhas_de_pagamento!$F$3:$F$296,0))),"-")</f>
        <v>Serie A</v>
      </c>
      <c r="D49" s="40">
        <f>IFERROR(LARGE(Folhas_de_pagamento!$F$3:$F$296,8)/100,0)</f>
        <v>3.5299999999999997E-3</v>
      </c>
      <c r="F49" s="15" t="str">
        <f>IFERROR(INDEX(Salários!$A$3:$A$102,MATCH(LARGE(Salários!$D$3:$D$102,8),Salários!$D$3:$D$102,0)),"-")</f>
        <v>Mahendra Singh Dhoni</v>
      </c>
      <c r="G49" s="17">
        <f>IFERROR(LARGE(Salários!$D$3:$D$102,8),0)</f>
        <v>26000000</v>
      </c>
      <c r="H49" s="18" t="str">
        <f>IFERROR(INDEX(Salários!$E$3:$E$102,MATCH(LARGE(Salários!$D$3:$D$102,8),Salários!$D$3:$D$102,0)),"-")</f>
        <v>Cricket</v>
      </c>
    </row>
    <row r="50" spans="2:8" x14ac:dyDescent="0.3">
      <c r="B50" s="35" t="str">
        <f>IFERROR(INDEX(Folhas_de_pagamento!$C$3:$C$296,MATCH(LARGE(Folhas_de_pagamento!$F$3:$F$296,9),Folhas_de_pagamento!$F$3:$F$296,0)),"-")</f>
        <v>Real Sociedad</v>
      </c>
      <c r="C50" s="35" t="str">
        <f>IFERROR(TRIM(INDEX(Folhas_de_pagamento!$D$3:$D$296,MATCH(LARGE(Folhas_de_pagamento!$F$3:$F$296,9),Folhas_de_pagamento!$F$3:$F$296,0))),"-")</f>
        <v>La Liga</v>
      </c>
      <c r="D50" s="36">
        <f>IFERROR(LARGE(Folhas_de_pagamento!$F$3:$F$296,9)/100,0)</f>
        <v>3.4300000000000003E-3</v>
      </c>
      <c r="F50" s="37" t="str">
        <f>IFERROR(INDEX(Salários!$A$3:$A$102,MATCH(LARGE(Salários!$D$3:$D$102,9),Salários!$D$3:$D$102,0)),"-")</f>
        <v>Lionel Messi</v>
      </c>
      <c r="G50" s="38">
        <f>IFERROR(LARGE(Salários!$D$3:$D$102,9),0)</f>
        <v>23000000</v>
      </c>
      <c r="H50" s="39" t="str">
        <f>IFERROR(INDEX(Salários!$E$3:$E$102,MATCH(LARGE(Salários!$D$3:$D$102,9),Salários!$D$3:$D$102,0)),"-")</f>
        <v>Soccer</v>
      </c>
    </row>
    <row r="51" spans="2:8" x14ac:dyDescent="0.3">
      <c r="B51" s="15" t="str">
        <f>IFERROR(INDEX(Folhas_de_pagamento!$C$3:$C$296,MATCH(LARGE(Folhas_de_pagamento!$F$3:$F$296,10),Folhas_de_pagamento!$F$3:$F$296,0)),"-")</f>
        <v>San Diego Padres</v>
      </c>
      <c r="C51" s="15" t="str">
        <f>IFERROR(TRIM(INDEX(Folhas_de_pagamento!$D$3:$D$296,MATCH(LARGE(Folhas_de_pagamento!$F$3:$F$296,10),Folhas_de_pagamento!$F$3:$F$296,0))),"-")</f>
        <v>MLB</v>
      </c>
      <c r="D51" s="40">
        <f>IFERROR(LARGE(Folhas_de_pagamento!$F$3:$F$296,10)/100,0)</f>
        <v>3.3900000000000002E-3</v>
      </c>
      <c r="F51" s="15" t="str">
        <f>IFERROR(INDEX(Salários!$A$3:$A$102,MATCH(LARGE(Salários!$D$3:$D$102,10),Salários!$D$3:$D$102,0)),"-")</f>
        <v>Lionel Messi</v>
      </c>
      <c r="G51" s="17">
        <f>IFERROR(LARGE(Salários!$D$3:$D$102,10),0)</f>
        <v>23000000</v>
      </c>
      <c r="H51" s="18" t="str">
        <f>IFERROR(INDEX(Salários!$E$3:$E$102,MATCH(LARGE(Salários!$D$3:$D$102,10),Salários!$D$3:$D$102,0)),"-")</f>
        <v>Soccer</v>
      </c>
    </row>
    <row r="52" spans="2:8" x14ac:dyDescent="0.3">
      <c r="F52" s="37" t="str">
        <f>IFERROR(INDEX(Salários!$A$3:$A$102,MATCH(LARGE(Salários!$D$3:$D$102,11),Salários!$D$3:$D$102,0)),"-")</f>
        <v>Maria Sharapova</v>
      </c>
      <c r="G52" s="38">
        <f>IFERROR(LARGE(Salários!$D$3:$D$102,11),0)</f>
        <v>22000000</v>
      </c>
      <c r="H52" s="39" t="str">
        <f>IFERROR(INDEX(Salários!$E$3:$E$102,MATCH(LARGE(Salários!$D$3:$D$102,11),Salários!$D$3:$D$102,0)),"-")</f>
        <v>Tennis</v>
      </c>
    </row>
    <row r="53" spans="2:8" x14ac:dyDescent="0.3">
      <c r="F53" s="15" t="str">
        <f>IFERROR(INDEX(Salários!$A$3:$A$102,MATCH(LARGE(Salários!$D$3:$D$102,12),Salários!$D$3:$D$102,0)),"-")</f>
        <v>Novak Djokovic</v>
      </c>
      <c r="G53" s="17">
        <f>IFERROR(LARGE(Salários!$D$3:$D$102,12),0)</f>
        <v>21000000</v>
      </c>
      <c r="H53" s="18" t="str">
        <f>IFERROR(INDEX(Salários!$E$3:$E$102,MATCH(LARGE(Salários!$D$3:$D$102,12),Salários!$D$3:$D$102,0)),"-")</f>
        <v>Tennis</v>
      </c>
    </row>
    <row r="54" spans="2:8" ht="24" customHeight="1" x14ac:dyDescent="0.3">
      <c r="B54" s="2" t="s">
        <v>65</v>
      </c>
      <c r="C54" s="2"/>
      <c r="D54" s="2"/>
      <c r="F54" s="37" t="str">
        <f>IFERROR(INDEX(Salários!$A$3:$A$102,MATCH(LARGE(Salários!$D$3:$D$102,13),Salários!$D$3:$D$102,0)),"-")</f>
        <v>Rory McIlroy</v>
      </c>
      <c r="G54" s="38">
        <f>IFERROR(LARGE(Salários!$D$3:$D$102,13),0)</f>
        <v>20000000</v>
      </c>
      <c r="H54" s="39" t="str">
        <f>IFERROR(INDEX(Salários!$E$3:$E$102,MATCH(LARGE(Salários!$D$3:$D$102,13),Salários!$D$3:$D$102,0)),"-")</f>
        <v>Golf</v>
      </c>
    </row>
    <row r="55" spans="2:8" ht="31.5" customHeight="1" x14ac:dyDescent="0.3">
      <c r="B55" s="41" t="s">
        <v>62</v>
      </c>
      <c r="C55" s="41" t="s">
        <v>3</v>
      </c>
      <c r="D55" s="41" t="s">
        <v>63</v>
      </c>
      <c r="F55" s="15" t="str">
        <f>IFERROR(INDEX(Salários!$A$3:$A$102,MATCH(LARGE(Salários!$D$3:$D$102,14),Salários!$D$3:$D$102,0)),"-")</f>
        <v>Derrick Rose</v>
      </c>
      <c r="G55" s="17">
        <f>IFERROR(LARGE(Salários!$D$3:$D$102,14),0)</f>
        <v>19000000</v>
      </c>
      <c r="H55" s="18" t="str">
        <f>IFERROR(INDEX(Salários!$E$3:$E$102,MATCH(LARGE(Salários!$D$3:$D$102,14),Salários!$D$3:$D$102,0)),"-")</f>
        <v>Basketball</v>
      </c>
    </row>
    <row r="56" spans="2:8" x14ac:dyDescent="0.3">
      <c r="B56" s="42" t="str">
        <f>IFERROR(INDEX(Folhas_de_pagamento!$C$3:$C$296,MATCH(SMALL(Folhas_de_pagamento!$F$3:$F$296,1),Folhas_de_pagamento!$F$3:$F$296,0)),"-")</f>
        <v>Hanshin Tigers</v>
      </c>
      <c r="C56" s="42" t="str">
        <f>IFERROR(TRIM(INDEX(Folhas_de_pagamento!$D$3:$D$296,MATCH(SMALL(Folhas_de_pagamento!$F$3:$F$296,1),Folhas_de_pagamento!$F$3:$F$296,0))),"-")</f>
        <v>NPB</v>
      </c>
      <c r="D56" s="43">
        <f>IFERROR(SMALL(Folhas_de_pagamento!$F$3:$F$296,1)/100,0)</f>
        <v>-5.2399999999999999E-3</v>
      </c>
      <c r="F56" s="37" t="str">
        <f>IFERROR(INDEX(Salários!$A$3:$A$102,MATCH(LARGE(Salários!$D$3:$D$102,15),Salários!$D$3:$D$102,0)),"-")</f>
        <v>Li Na</v>
      </c>
      <c r="G56" s="38">
        <f>IFERROR(LARGE(Salários!$D$3:$D$102,15),0)</f>
        <v>18000000</v>
      </c>
      <c r="H56" s="39" t="str">
        <f>IFERROR(INDEX(Salários!$E$3:$E$102,MATCH(LARGE(Salários!$D$3:$D$102,15),Salários!$D$3:$D$102,0)),"-")</f>
        <v>Tennis</v>
      </c>
    </row>
    <row r="57" spans="2:8" x14ac:dyDescent="0.3">
      <c r="B57" s="15" t="str">
        <f>IFERROR(INDEX(Folhas_de_pagamento!$C$3:$C$296,MATCH(SMALL(Folhas_de_pagamento!$F$3:$F$296,2),Folhas_de_pagamento!$F$3:$F$296,0)),"-")</f>
        <v>Zaragoza</v>
      </c>
      <c r="C57" s="15" t="str">
        <f>IFERROR(TRIM(INDEX(Folhas_de_pagamento!$D$3:$D$296,MATCH(SMALL(Folhas_de_pagamento!$F$3:$F$296,2),Folhas_de_pagamento!$F$3:$F$296,0))),"-")</f>
        <v>La Liga</v>
      </c>
      <c r="D57" s="44">
        <f>IFERROR(SMALL(Folhas_de_pagamento!$F$3:$F$296,2)/100,0)</f>
        <v>-5.0400000000000002E-3</v>
      </c>
    </row>
    <row r="58" spans="2:8" x14ac:dyDescent="0.3">
      <c r="B58" s="42" t="str">
        <f>IFERROR(INDEX(Folhas_de_pagamento!$C$3:$C$296,MATCH(SMALL(Folhas_de_pagamento!$F$3:$F$296,3),Folhas_de_pagamento!$F$3:$F$296,0)),"-")</f>
        <v>Philadelphia 76ers</v>
      </c>
      <c r="C58" s="42" t="str">
        <f>IFERROR(TRIM(INDEX(Folhas_de_pagamento!$D$3:$D$296,MATCH(SMALL(Folhas_de_pagamento!$F$3:$F$296,3),Folhas_de_pagamento!$F$3:$F$296,0))),"-")</f>
        <v>NBA</v>
      </c>
      <c r="D58" s="43">
        <f>IFERROR(SMALL(Folhas_de_pagamento!$F$3:$F$296,3)/100,0)</f>
        <v>-4.1599999999999996E-3</v>
      </c>
    </row>
    <row r="59" spans="2:8" x14ac:dyDescent="0.3">
      <c r="B59" s="15" t="str">
        <f>IFERROR(INDEX(Folhas_de_pagamento!$C$3:$C$296,MATCH(SMALL(Folhas_de_pagamento!$F$3:$F$296,4),Folhas_de_pagamento!$F$3:$F$296,0)),"-")</f>
        <v>Arizona Cardinals</v>
      </c>
      <c r="C59" s="15" t="str">
        <f>IFERROR(TRIM(INDEX(Folhas_de_pagamento!$D$3:$D$296,MATCH(SMALL(Folhas_de_pagamento!$F$3:$F$296,4),Folhas_de_pagamento!$F$3:$F$296,0))),"-")</f>
        <v>NFL</v>
      </c>
      <c r="D59" s="44">
        <f>IFERROR(SMALL(Folhas_de_pagamento!$F$3:$F$296,4)/100,0)</f>
        <v>-4.0600000000000002E-3</v>
      </c>
    </row>
    <row r="60" spans="2:8" x14ac:dyDescent="0.3">
      <c r="B60" s="42" t="str">
        <f>IFERROR(INDEX(Folhas_de_pagamento!$C$3:$C$296,MATCH(SMALL(Folhas_de_pagamento!$F$3:$F$296,5),Folhas_de_pagamento!$F$3:$F$296,0)),"-")</f>
        <v>Heart of Midlothian</v>
      </c>
      <c r="C60" s="42" t="str">
        <f>IFERROR(TRIM(INDEX(Folhas_de_pagamento!$D$3:$D$296,MATCH(SMALL(Folhas_de_pagamento!$F$3:$F$296,5),Folhas_de_pagamento!$F$3:$F$296,0))),"-")</f>
        <v>SPL</v>
      </c>
      <c r="D60" s="43">
        <f>IFERROR(SMALL(Folhas_de_pagamento!$F$3:$F$296,5)/100,0)</f>
        <v>-4.0300000000000006E-3</v>
      </c>
    </row>
    <row r="61" spans="2:8" x14ac:dyDescent="0.3">
      <c r="B61" s="15" t="str">
        <f>IFERROR(INDEX(Folhas_de_pagamento!$C$3:$C$296,MATCH(SMALL(Folhas_de_pagamento!$F$3:$F$296,6),Folhas_de_pagamento!$F$3:$F$296,0)),"-")</f>
        <v>Saitama Seibu Lions</v>
      </c>
      <c r="C61" s="15" t="str">
        <f>IFERROR(TRIM(INDEX(Folhas_de_pagamento!$D$3:$D$296,MATCH(SMALL(Folhas_de_pagamento!$F$3:$F$296,6),Folhas_de_pagamento!$F$3:$F$296,0))),"-")</f>
        <v>NPB</v>
      </c>
      <c r="D61" s="44">
        <f>IFERROR(SMALL(Folhas_de_pagamento!$F$3:$F$296,6)/100,0)</f>
        <v>-3.5599999999999998E-3</v>
      </c>
    </row>
    <row r="62" spans="2:8" x14ac:dyDescent="0.3">
      <c r="B62" s="42" t="str">
        <f>IFERROR(INDEX(Folhas_de_pagamento!$C$3:$C$296,MATCH(SMALL(Folhas_de_pagamento!$F$3:$F$296,7),Folhas_de_pagamento!$F$3:$F$296,0)),"-")</f>
        <v>Motherwell</v>
      </c>
      <c r="C62" s="42" t="str">
        <f>IFERROR(TRIM(INDEX(Folhas_de_pagamento!$D$3:$D$296,MATCH(SMALL(Folhas_de_pagamento!$F$3:$F$296,7),Folhas_de_pagamento!$F$3:$F$296,0))),"-")</f>
        <v>SPL</v>
      </c>
      <c r="D62" s="43">
        <f>IFERROR(SMALL(Folhas_de_pagamento!$F$3:$F$296,7)/100,0)</f>
        <v>-3.4499999999999999E-3</v>
      </c>
    </row>
    <row r="63" spans="2:8" x14ac:dyDescent="0.3">
      <c r="B63" s="15" t="str">
        <f>IFERROR(INDEX(Folhas_de_pagamento!$C$3:$C$296,MATCH(SMALL(Folhas_de_pagamento!$F$3:$F$296,8),Folhas_de_pagamento!$F$3:$F$296,0)),"-")</f>
        <v>Valladolid</v>
      </c>
      <c r="C63" s="15" t="str">
        <f>IFERROR(TRIM(INDEX(Folhas_de_pagamento!$D$3:$D$296,MATCH(SMALL(Folhas_de_pagamento!$F$3:$F$296,8),Folhas_de_pagamento!$F$3:$F$296,0))),"-")</f>
        <v>La Liga</v>
      </c>
      <c r="D63" s="44">
        <f>IFERROR(SMALL(Folhas_de_pagamento!$F$3:$F$296,8)/100,0)</f>
        <v>-3.32E-3</v>
      </c>
    </row>
    <row r="64" spans="2:8" x14ac:dyDescent="0.3">
      <c r="B64" s="42" t="str">
        <f>IFERROR(INDEX(Folhas_de_pagamento!$C$3:$C$296,MATCH(SMALL(Folhas_de_pagamento!$F$3:$F$296,9),Folhas_de_pagamento!$F$3:$F$296,0)),"-")</f>
        <v>Rajasthan Royals</v>
      </c>
      <c r="C64" s="42" t="str">
        <f>IFERROR(TRIM(INDEX(Folhas_de_pagamento!$D$3:$D$296,MATCH(SMALL(Folhas_de_pagamento!$F$3:$F$296,9),Folhas_de_pagamento!$F$3:$F$296,0))),"-")</f>
        <v>IPL</v>
      </c>
      <c r="D64" s="43">
        <f>IFERROR(SMALL(Folhas_de_pagamento!$F$3:$F$296,9)/100,0)</f>
        <v>-3.31E-3</v>
      </c>
    </row>
    <row r="65" spans="2:4" x14ac:dyDescent="0.3">
      <c r="B65" s="15" t="str">
        <f>IFERROR(INDEX(Folhas_de_pagamento!$C$3:$C$296,MATCH(SMALL(Folhas_de_pagamento!$F$3:$F$296,10),Folhas_de_pagamento!$F$3:$F$296,0)),"-")</f>
        <v>Jacksonville Jaguars</v>
      </c>
      <c r="C65" s="15" t="str">
        <f>IFERROR(TRIM(INDEX(Folhas_de_pagamento!$D$3:$D$296,MATCH(SMALL(Folhas_de_pagamento!$F$3:$F$296,10),Folhas_de_pagamento!$F$3:$F$296,0))),"-")</f>
        <v>NFL</v>
      </c>
      <c r="D65" s="44">
        <f>IFERROR(SMALL(Folhas_de_pagamento!$F$3:$F$296,10)/100,0)</f>
        <v>-2.9099999999999998E-3</v>
      </c>
    </row>
  </sheetData>
  <mergeCells count="10">
    <mergeCell ref="J27:L27"/>
    <mergeCell ref="B40:D40"/>
    <mergeCell ref="F40:H40"/>
    <mergeCell ref="B54:D54"/>
    <mergeCell ref="B2:D2"/>
    <mergeCell ref="F2:H2"/>
    <mergeCell ref="J2:L2"/>
    <mergeCell ref="J16:L16"/>
    <mergeCell ref="B21:D21"/>
    <mergeCell ref="F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"/>
  <sheetViews>
    <sheetView showGridLines="0" zoomScale="122" zoomScaleNormal="122" workbookViewId="0">
      <pane ySplit="2" topLeftCell="A37" activePane="bottomLeft" state="frozen"/>
      <selection pane="bottomLeft" activeCell="C109" sqref="C109"/>
    </sheetView>
  </sheetViews>
  <sheetFormatPr defaultColWidth="11.19921875" defaultRowHeight="13.8" x14ac:dyDescent="0.3"/>
  <cols>
    <col min="1" max="1" width="30" style="45" customWidth="1"/>
    <col min="2" max="3" width="22" style="46" customWidth="1"/>
    <col min="4" max="4" width="18" style="46" customWidth="1"/>
    <col min="5" max="5" width="14" style="45" customWidth="1"/>
    <col min="6" max="16384" width="11.19921875" style="45"/>
  </cols>
  <sheetData>
    <row r="1" spans="1:5" ht="31.5" customHeight="1" x14ac:dyDescent="0.3">
      <c r="A1" s="1" t="s">
        <v>66</v>
      </c>
      <c r="B1" s="1"/>
      <c r="C1" s="1"/>
      <c r="D1" s="1"/>
      <c r="E1" s="1"/>
    </row>
    <row r="2" spans="1:5" s="48" customFormat="1" ht="39.75" customHeight="1" x14ac:dyDescent="0.3">
      <c r="A2" s="8" t="s">
        <v>6</v>
      </c>
      <c r="B2" s="47" t="s">
        <v>67</v>
      </c>
      <c r="C2" s="47" t="s">
        <v>49</v>
      </c>
      <c r="D2" s="47" t="s">
        <v>64</v>
      </c>
      <c r="E2" s="8" t="s">
        <v>8</v>
      </c>
    </row>
    <row r="3" spans="1:5" ht="13.5" customHeight="1" x14ac:dyDescent="0.3">
      <c r="A3" s="15" t="s">
        <v>68</v>
      </c>
      <c r="B3" s="17">
        <v>105000000</v>
      </c>
      <c r="C3" s="17">
        <v>105000000</v>
      </c>
      <c r="D3" s="17"/>
      <c r="E3" s="18" t="s">
        <v>16</v>
      </c>
    </row>
    <row r="4" spans="1:5" ht="13.5" customHeight="1" x14ac:dyDescent="0.3">
      <c r="A4" s="9" t="s">
        <v>69</v>
      </c>
      <c r="B4" s="11">
        <v>80000000</v>
      </c>
      <c r="C4" s="11">
        <v>52000000</v>
      </c>
      <c r="D4" s="11">
        <v>28000000</v>
      </c>
      <c r="E4" s="19" t="s">
        <v>26</v>
      </c>
    </row>
    <row r="5" spans="1:5" ht="13.5" customHeight="1" x14ac:dyDescent="0.3">
      <c r="A5" s="15" t="s">
        <v>70</v>
      </c>
      <c r="B5" s="17">
        <v>72300000</v>
      </c>
      <c r="C5" s="17">
        <v>19300000</v>
      </c>
      <c r="D5" s="17">
        <v>53000000</v>
      </c>
      <c r="E5" s="18" t="s">
        <v>14</v>
      </c>
    </row>
    <row r="6" spans="1:5" ht="13.5" customHeight="1" x14ac:dyDescent="0.3">
      <c r="A6" s="9" t="s">
        <v>71</v>
      </c>
      <c r="B6" s="11">
        <v>64700000</v>
      </c>
      <c r="C6" s="11">
        <v>41700000</v>
      </c>
      <c r="D6" s="11">
        <v>23000000</v>
      </c>
      <c r="E6" s="19" t="s">
        <v>26</v>
      </c>
    </row>
    <row r="7" spans="1:5" ht="13.5" customHeight="1" x14ac:dyDescent="0.3">
      <c r="A7" s="15" t="s">
        <v>72</v>
      </c>
      <c r="B7" s="17">
        <v>61500000</v>
      </c>
      <c r="C7" s="17">
        <v>30500000</v>
      </c>
      <c r="D7" s="17">
        <v>31000000</v>
      </c>
      <c r="E7" s="18" t="s">
        <v>14</v>
      </c>
    </row>
    <row r="8" spans="1:5" ht="13.5" customHeight="1" x14ac:dyDescent="0.3">
      <c r="A8" s="9" t="s">
        <v>73</v>
      </c>
      <c r="B8" s="11">
        <v>61200000</v>
      </c>
      <c r="C8" s="11">
        <v>6200000</v>
      </c>
      <c r="D8" s="11">
        <v>55000000</v>
      </c>
      <c r="E8" s="19" t="s">
        <v>22</v>
      </c>
    </row>
    <row r="9" spans="1:5" ht="13.5" customHeight="1" x14ac:dyDescent="0.3">
      <c r="A9" s="15" t="s">
        <v>74</v>
      </c>
      <c r="B9" s="17">
        <v>56200000</v>
      </c>
      <c r="C9" s="17">
        <v>4200000</v>
      </c>
      <c r="D9" s="17">
        <v>52000000</v>
      </c>
      <c r="E9" s="18" t="s">
        <v>28</v>
      </c>
    </row>
    <row r="10" spans="1:5" ht="13.5" customHeight="1" x14ac:dyDescent="0.3">
      <c r="A10" s="9" t="s">
        <v>75</v>
      </c>
      <c r="B10" s="11">
        <v>53200000</v>
      </c>
      <c r="C10" s="11">
        <v>5200000</v>
      </c>
      <c r="D10" s="11">
        <v>48000000</v>
      </c>
      <c r="E10" s="19" t="s">
        <v>22</v>
      </c>
    </row>
    <row r="11" spans="1:5" ht="13.5" customHeight="1" x14ac:dyDescent="0.3">
      <c r="A11" s="15" t="s">
        <v>76</v>
      </c>
      <c r="B11" s="17">
        <v>44500000</v>
      </c>
      <c r="C11" s="17">
        <v>14500000</v>
      </c>
      <c r="D11" s="17">
        <v>30000000</v>
      </c>
      <c r="E11" s="18" t="s">
        <v>28</v>
      </c>
    </row>
    <row r="12" spans="1:5" ht="13.5" customHeight="1" x14ac:dyDescent="0.3">
      <c r="A12" s="9" t="s">
        <v>77</v>
      </c>
      <c r="B12" s="11">
        <v>43800000</v>
      </c>
      <c r="C12" s="11">
        <v>42000000</v>
      </c>
      <c r="D12" s="11">
        <v>1800000</v>
      </c>
      <c r="E12" s="19" t="s">
        <v>20</v>
      </c>
    </row>
    <row r="13" spans="1:5" ht="13.5" customHeight="1" x14ac:dyDescent="0.3">
      <c r="A13" s="15" t="s">
        <v>78</v>
      </c>
      <c r="B13" s="17">
        <v>41800000</v>
      </c>
      <c r="C13" s="17">
        <v>41000000</v>
      </c>
      <c r="D13" s="17">
        <v>800000</v>
      </c>
      <c r="E13" s="18" t="s">
        <v>16</v>
      </c>
    </row>
    <row r="14" spans="1:5" ht="13.5" customHeight="1" x14ac:dyDescent="0.3">
      <c r="A14" s="9" t="s">
        <v>79</v>
      </c>
      <c r="B14" s="11">
        <v>40400000</v>
      </c>
      <c r="C14" s="11">
        <v>36400000</v>
      </c>
      <c r="D14" s="11">
        <v>4000000</v>
      </c>
      <c r="E14" s="19" t="s">
        <v>26</v>
      </c>
    </row>
    <row r="15" spans="1:5" ht="13.5" customHeight="1" x14ac:dyDescent="0.3">
      <c r="A15" s="15" t="s">
        <v>80</v>
      </c>
      <c r="B15" s="17">
        <v>36600000</v>
      </c>
      <c r="C15" s="17">
        <v>17600000</v>
      </c>
      <c r="D15" s="17">
        <v>19000000</v>
      </c>
      <c r="E15" s="18" t="s">
        <v>14</v>
      </c>
    </row>
    <row r="16" spans="1:5" ht="13.5" customHeight="1" x14ac:dyDescent="0.3">
      <c r="A16" s="9" t="s">
        <v>81</v>
      </c>
      <c r="B16" s="11">
        <v>36400000</v>
      </c>
      <c r="C16" s="11">
        <v>25400000</v>
      </c>
      <c r="D16" s="11">
        <v>11000000</v>
      </c>
      <c r="E16" s="19" t="s">
        <v>26</v>
      </c>
    </row>
    <row r="17" spans="1:5" ht="13.5" customHeight="1" x14ac:dyDescent="0.3">
      <c r="A17" s="15" t="s">
        <v>82</v>
      </c>
      <c r="B17" s="17">
        <v>35400000</v>
      </c>
      <c r="C17" s="17">
        <v>32400000</v>
      </c>
      <c r="D17" s="17">
        <v>3000000</v>
      </c>
      <c r="E17" s="18" t="s">
        <v>26</v>
      </c>
    </row>
    <row r="18" spans="1:5" ht="13.5" customHeight="1" x14ac:dyDescent="0.3">
      <c r="A18" s="9" t="s">
        <v>83</v>
      </c>
      <c r="B18" s="11">
        <v>33600000</v>
      </c>
      <c r="C18" s="11">
        <v>17600000</v>
      </c>
      <c r="D18" s="11">
        <v>16000000</v>
      </c>
      <c r="E18" s="19" t="s">
        <v>26</v>
      </c>
    </row>
    <row r="19" spans="1:5" ht="13.5" customHeight="1" x14ac:dyDescent="0.3">
      <c r="A19" s="15" t="s">
        <v>84</v>
      </c>
      <c r="B19" s="17">
        <v>33100000</v>
      </c>
      <c r="C19" s="17">
        <v>12100000</v>
      </c>
      <c r="D19" s="17">
        <v>21000000</v>
      </c>
      <c r="E19" s="18" t="s">
        <v>28</v>
      </c>
    </row>
    <row r="20" spans="1:5" ht="13.5" customHeight="1" x14ac:dyDescent="0.3">
      <c r="A20" s="9" t="s">
        <v>85</v>
      </c>
      <c r="B20" s="11">
        <v>33000000</v>
      </c>
      <c r="C20" s="11">
        <v>31500000</v>
      </c>
      <c r="D20" s="11">
        <v>1500000</v>
      </c>
      <c r="E20" s="19" t="s">
        <v>20</v>
      </c>
    </row>
    <row r="21" spans="1:5" ht="13.5" customHeight="1" x14ac:dyDescent="0.3">
      <c r="A21" s="15" t="s">
        <v>86</v>
      </c>
      <c r="B21" s="17">
        <v>32000000</v>
      </c>
      <c r="C21" s="17">
        <v>29000000</v>
      </c>
      <c r="D21" s="17">
        <v>3000000</v>
      </c>
      <c r="E21" s="18" t="s">
        <v>24</v>
      </c>
    </row>
    <row r="22" spans="1:5" ht="13.5" customHeight="1" x14ac:dyDescent="0.3">
      <c r="A22" s="9" t="s">
        <v>87</v>
      </c>
      <c r="B22" s="11">
        <v>31900000</v>
      </c>
      <c r="C22" s="11">
        <v>17900000</v>
      </c>
      <c r="D22" s="11">
        <v>14000000</v>
      </c>
      <c r="E22" s="19" t="s">
        <v>14</v>
      </c>
    </row>
    <row r="23" spans="1:5" ht="13.5" customHeight="1" x14ac:dyDescent="0.3">
      <c r="A23" s="15" t="s">
        <v>88</v>
      </c>
      <c r="B23" s="17">
        <v>31000000</v>
      </c>
      <c r="C23" s="17">
        <v>29000000</v>
      </c>
      <c r="D23" s="17">
        <v>2000000</v>
      </c>
      <c r="E23" s="18" t="s">
        <v>24</v>
      </c>
    </row>
    <row r="24" spans="1:5" ht="13.5" customHeight="1" x14ac:dyDescent="0.3">
      <c r="A24" s="9" t="s">
        <v>89</v>
      </c>
      <c r="B24" s="11">
        <v>30000000</v>
      </c>
      <c r="C24" s="11">
        <v>4000000</v>
      </c>
      <c r="D24" s="11">
        <v>26000000</v>
      </c>
      <c r="E24" s="19" t="s">
        <v>18</v>
      </c>
    </row>
    <row r="25" spans="1:5" ht="13.5" customHeight="1" x14ac:dyDescent="0.3">
      <c r="A25" s="15" t="s">
        <v>90</v>
      </c>
      <c r="B25" s="17">
        <v>29900000</v>
      </c>
      <c r="C25" s="17">
        <v>18900000</v>
      </c>
      <c r="D25" s="17">
        <v>11000000</v>
      </c>
      <c r="E25" s="18" t="s">
        <v>14</v>
      </c>
    </row>
    <row r="26" spans="1:5" ht="13.5" customHeight="1" x14ac:dyDescent="0.3">
      <c r="A26" s="9" t="s">
        <v>91</v>
      </c>
      <c r="B26" s="11">
        <v>29400000</v>
      </c>
      <c r="C26" s="11">
        <v>21400000</v>
      </c>
      <c r="D26" s="11">
        <v>8000000</v>
      </c>
      <c r="E26" s="19" t="s">
        <v>14</v>
      </c>
    </row>
    <row r="27" spans="1:5" ht="13.5" customHeight="1" x14ac:dyDescent="0.3">
      <c r="A27" s="15" t="s">
        <v>92</v>
      </c>
      <c r="B27" s="17">
        <v>28000000</v>
      </c>
      <c r="C27" s="17">
        <v>24000000</v>
      </c>
      <c r="D27" s="17">
        <v>4000000</v>
      </c>
      <c r="E27" s="18" t="s">
        <v>16</v>
      </c>
    </row>
    <row r="28" spans="1:5" ht="13.5" customHeight="1" x14ac:dyDescent="0.3">
      <c r="A28" s="9" t="s">
        <v>93</v>
      </c>
      <c r="B28" s="11">
        <v>27100000</v>
      </c>
      <c r="C28" s="11">
        <v>15100000</v>
      </c>
      <c r="D28" s="11">
        <v>12000000</v>
      </c>
      <c r="E28" s="19" t="s">
        <v>20</v>
      </c>
    </row>
    <row r="29" spans="1:5" ht="13.5" customHeight="1" x14ac:dyDescent="0.3">
      <c r="A29" s="15" t="s">
        <v>94</v>
      </c>
      <c r="B29" s="17">
        <v>26700000</v>
      </c>
      <c r="C29" s="17">
        <v>21700000</v>
      </c>
      <c r="D29" s="17">
        <v>5000000</v>
      </c>
      <c r="E29" s="18" t="s">
        <v>14</v>
      </c>
    </row>
    <row r="30" spans="1:5" ht="13.5" customHeight="1" x14ac:dyDescent="0.3">
      <c r="A30" s="9" t="s">
        <v>95</v>
      </c>
      <c r="B30" s="11">
        <v>25900000</v>
      </c>
      <c r="C30" s="11">
        <v>14900000</v>
      </c>
      <c r="D30" s="11">
        <v>11000000</v>
      </c>
      <c r="E30" s="19" t="s">
        <v>24</v>
      </c>
    </row>
    <row r="31" spans="1:5" ht="13.5" customHeight="1" x14ac:dyDescent="0.3">
      <c r="A31" s="15" t="s">
        <v>96</v>
      </c>
      <c r="B31" s="17">
        <v>25500000</v>
      </c>
      <c r="C31" s="17">
        <v>20500000</v>
      </c>
      <c r="D31" s="17">
        <v>5000000</v>
      </c>
      <c r="E31" s="18" t="s">
        <v>14</v>
      </c>
    </row>
    <row r="32" spans="1:5" ht="13.5" customHeight="1" x14ac:dyDescent="0.3">
      <c r="A32" s="9" t="s">
        <v>97</v>
      </c>
      <c r="B32" s="11">
        <v>25300000</v>
      </c>
      <c r="C32" s="11">
        <v>25100000</v>
      </c>
      <c r="D32" s="11">
        <v>200000</v>
      </c>
      <c r="E32" s="19" t="s">
        <v>12</v>
      </c>
    </row>
    <row r="33" spans="1:5" ht="13.5" customHeight="1" x14ac:dyDescent="0.3">
      <c r="A33" s="15" t="s">
        <v>98</v>
      </c>
      <c r="B33" s="17">
        <v>24800000</v>
      </c>
      <c r="C33" s="17">
        <v>23000000</v>
      </c>
      <c r="D33" s="17">
        <v>1800000</v>
      </c>
      <c r="E33" s="18" t="s">
        <v>12</v>
      </c>
    </row>
    <row r="34" spans="1:5" ht="13.5" customHeight="1" x14ac:dyDescent="0.3">
      <c r="A34" s="9" t="s">
        <v>99</v>
      </c>
      <c r="B34" s="11">
        <v>24600000</v>
      </c>
      <c r="C34" s="11">
        <v>22600000</v>
      </c>
      <c r="D34" s="11">
        <v>2000000</v>
      </c>
      <c r="E34" s="19" t="s">
        <v>12</v>
      </c>
    </row>
    <row r="35" spans="1:5" ht="13.5" customHeight="1" x14ac:dyDescent="0.3">
      <c r="A35" s="15" t="s">
        <v>100</v>
      </c>
      <c r="B35" s="17">
        <v>24500000</v>
      </c>
      <c r="C35" s="17">
        <v>24400000</v>
      </c>
      <c r="D35" s="17">
        <v>50000</v>
      </c>
      <c r="E35" s="18" t="s">
        <v>12</v>
      </c>
    </row>
    <row r="36" spans="1:5" ht="13.5" customHeight="1" x14ac:dyDescent="0.3">
      <c r="A36" s="9" t="s">
        <v>101</v>
      </c>
      <c r="B36" s="11">
        <v>24400000</v>
      </c>
      <c r="C36" s="11">
        <v>2400000</v>
      </c>
      <c r="D36" s="11">
        <v>22000000</v>
      </c>
      <c r="E36" s="19" t="s">
        <v>28</v>
      </c>
    </row>
    <row r="37" spans="1:5" ht="13.5" customHeight="1" x14ac:dyDescent="0.3">
      <c r="A37" s="15" t="s">
        <v>102</v>
      </c>
      <c r="B37" s="17">
        <v>24300000</v>
      </c>
      <c r="C37" s="17">
        <v>15300000</v>
      </c>
      <c r="D37" s="17">
        <v>9000000</v>
      </c>
      <c r="E37" s="18" t="s">
        <v>12</v>
      </c>
    </row>
    <row r="38" spans="1:5" ht="13.5" customHeight="1" x14ac:dyDescent="0.3">
      <c r="A38" s="9" t="s">
        <v>103</v>
      </c>
      <c r="B38" s="11">
        <v>24300000</v>
      </c>
      <c r="C38" s="11">
        <v>4300000</v>
      </c>
      <c r="D38" s="11">
        <v>20000000</v>
      </c>
      <c r="E38" s="19" t="s">
        <v>22</v>
      </c>
    </row>
    <row r="39" spans="1:5" ht="13.5" customHeight="1" x14ac:dyDescent="0.3">
      <c r="A39" s="15" t="s">
        <v>104</v>
      </c>
      <c r="B39" s="17">
        <v>24200000</v>
      </c>
      <c r="C39" s="17">
        <v>18700000</v>
      </c>
      <c r="D39" s="17">
        <v>5500000</v>
      </c>
      <c r="E39" s="18" t="s">
        <v>14</v>
      </c>
    </row>
    <row r="40" spans="1:5" ht="13.5" customHeight="1" x14ac:dyDescent="0.3">
      <c r="A40" s="9" t="s">
        <v>105</v>
      </c>
      <c r="B40" s="11">
        <v>24200000</v>
      </c>
      <c r="C40" s="11">
        <v>23000000</v>
      </c>
      <c r="D40" s="11">
        <v>1200000</v>
      </c>
      <c r="E40" s="19" t="s">
        <v>12</v>
      </c>
    </row>
    <row r="41" spans="1:5" ht="13.5" customHeight="1" x14ac:dyDescent="0.3">
      <c r="A41" s="15" t="s">
        <v>106</v>
      </c>
      <c r="B41" s="17">
        <v>23900000</v>
      </c>
      <c r="C41" s="17">
        <v>23500000</v>
      </c>
      <c r="D41" s="17">
        <v>400000</v>
      </c>
      <c r="E41" s="18" t="s">
        <v>12</v>
      </c>
    </row>
    <row r="42" spans="1:5" ht="13.5" customHeight="1" x14ac:dyDescent="0.3">
      <c r="A42" s="9" t="s">
        <v>107</v>
      </c>
      <c r="B42" s="11">
        <v>23800000</v>
      </c>
      <c r="C42" s="11">
        <v>23000000</v>
      </c>
      <c r="D42" s="11">
        <v>800000</v>
      </c>
      <c r="E42" s="19" t="s">
        <v>20</v>
      </c>
    </row>
    <row r="43" spans="1:5" ht="13.5" customHeight="1" x14ac:dyDescent="0.3">
      <c r="A43" s="15" t="s">
        <v>108</v>
      </c>
      <c r="B43" s="17">
        <v>23600000</v>
      </c>
      <c r="C43" s="17">
        <v>5600000</v>
      </c>
      <c r="D43" s="17">
        <v>18000000</v>
      </c>
      <c r="E43" s="18" t="s">
        <v>28</v>
      </c>
    </row>
    <row r="44" spans="1:5" ht="13.5" customHeight="1" x14ac:dyDescent="0.3">
      <c r="A44" s="9" t="s">
        <v>109</v>
      </c>
      <c r="B44" s="11">
        <v>23500000</v>
      </c>
      <c r="C44" s="11">
        <v>17000000</v>
      </c>
      <c r="D44" s="11">
        <v>6500000</v>
      </c>
      <c r="E44" s="19" t="s">
        <v>24</v>
      </c>
    </row>
    <row r="45" spans="1:5" ht="13.5" customHeight="1" x14ac:dyDescent="0.3">
      <c r="A45" s="15" t="s">
        <v>110</v>
      </c>
      <c r="B45" s="17">
        <v>23400000</v>
      </c>
      <c r="C45" s="17">
        <v>18400000</v>
      </c>
      <c r="D45" s="17">
        <v>5000000</v>
      </c>
      <c r="E45" s="18" t="s">
        <v>26</v>
      </c>
    </row>
    <row r="46" spans="1:5" ht="13.5" customHeight="1" x14ac:dyDescent="0.3">
      <c r="A46" s="9" t="s">
        <v>111</v>
      </c>
      <c r="B46" s="11">
        <v>23300000</v>
      </c>
      <c r="C46" s="11">
        <v>18300000</v>
      </c>
      <c r="D46" s="11">
        <v>5000000</v>
      </c>
      <c r="E46" s="19" t="s">
        <v>26</v>
      </c>
    </row>
    <row r="47" spans="1:5" ht="13.5" customHeight="1" x14ac:dyDescent="0.3">
      <c r="A47" s="15" t="s">
        <v>112</v>
      </c>
      <c r="B47" s="17">
        <v>23200000</v>
      </c>
      <c r="C47" s="17">
        <v>200000</v>
      </c>
      <c r="D47" s="17">
        <v>23000000</v>
      </c>
      <c r="E47" s="18" t="s">
        <v>30</v>
      </c>
    </row>
    <row r="48" spans="1:5" ht="13.5" customHeight="1" x14ac:dyDescent="0.3">
      <c r="A48" s="9" t="s">
        <v>113</v>
      </c>
      <c r="B48" s="11">
        <v>23200000</v>
      </c>
      <c r="C48" s="11">
        <v>22700000</v>
      </c>
      <c r="D48" s="11">
        <v>500000</v>
      </c>
      <c r="E48" s="19" t="s">
        <v>14</v>
      </c>
    </row>
    <row r="49" spans="1:5" ht="13.5" customHeight="1" x14ac:dyDescent="0.3">
      <c r="A49" s="15" t="s">
        <v>114</v>
      </c>
      <c r="B49" s="17">
        <v>23000000</v>
      </c>
      <c r="C49" s="17">
        <v>16500000</v>
      </c>
      <c r="D49" s="17">
        <v>6500000</v>
      </c>
      <c r="E49" s="18" t="s">
        <v>14</v>
      </c>
    </row>
    <row r="50" spans="1:5" ht="13.5" customHeight="1" x14ac:dyDescent="0.3">
      <c r="A50" s="9" t="s">
        <v>115</v>
      </c>
      <c r="B50" s="11">
        <v>22900000</v>
      </c>
      <c r="C50" s="11">
        <v>22600000</v>
      </c>
      <c r="D50" s="11">
        <v>300000</v>
      </c>
      <c r="E50" s="19" t="s">
        <v>12</v>
      </c>
    </row>
    <row r="51" spans="1:5" ht="13.5" customHeight="1" x14ac:dyDescent="0.3">
      <c r="A51" s="15" t="s">
        <v>116</v>
      </c>
      <c r="B51" s="17">
        <v>22900000</v>
      </c>
      <c r="C51" s="17">
        <v>22500000</v>
      </c>
      <c r="D51" s="17">
        <v>400000</v>
      </c>
      <c r="E51" s="18" t="s">
        <v>12</v>
      </c>
    </row>
    <row r="52" spans="1:5" ht="13.5" customHeight="1" x14ac:dyDescent="0.3">
      <c r="A52" s="9" t="s">
        <v>117</v>
      </c>
      <c r="B52" s="11">
        <v>22700000</v>
      </c>
      <c r="C52" s="11">
        <v>22500000</v>
      </c>
      <c r="D52" s="11">
        <v>200000</v>
      </c>
      <c r="E52" s="19" t="s">
        <v>12</v>
      </c>
    </row>
    <row r="53" spans="1:5" ht="13.5" customHeight="1" x14ac:dyDescent="0.3">
      <c r="A53" s="15" t="s">
        <v>118</v>
      </c>
      <c r="B53" s="17">
        <v>22600000</v>
      </c>
      <c r="C53" s="17">
        <v>21800000</v>
      </c>
      <c r="D53" s="17">
        <v>800000</v>
      </c>
      <c r="E53" s="18" t="s">
        <v>12</v>
      </c>
    </row>
    <row r="54" spans="1:5" ht="13.5" customHeight="1" x14ac:dyDescent="0.3">
      <c r="A54" s="9" t="s">
        <v>119</v>
      </c>
      <c r="B54" s="11">
        <v>22500000</v>
      </c>
      <c r="C54" s="11">
        <v>21500000</v>
      </c>
      <c r="D54" s="11">
        <v>1000000</v>
      </c>
      <c r="E54" s="19" t="s">
        <v>14</v>
      </c>
    </row>
    <row r="55" spans="1:5" ht="13.5" customHeight="1" x14ac:dyDescent="0.3">
      <c r="A55" s="15" t="s">
        <v>120</v>
      </c>
      <c r="B55" s="17">
        <v>22400000</v>
      </c>
      <c r="C55" s="17">
        <v>22300000</v>
      </c>
      <c r="D55" s="17">
        <v>50000</v>
      </c>
      <c r="E55" s="18" t="s">
        <v>20</v>
      </c>
    </row>
    <row r="56" spans="1:5" ht="13.5" customHeight="1" x14ac:dyDescent="0.3">
      <c r="A56" s="9" t="s">
        <v>121</v>
      </c>
      <c r="B56" s="11">
        <v>22400000</v>
      </c>
      <c r="C56" s="11">
        <v>21700000</v>
      </c>
      <c r="D56" s="11">
        <v>700000</v>
      </c>
      <c r="E56" s="19" t="s">
        <v>12</v>
      </c>
    </row>
    <row r="57" spans="1:5" ht="13.5" customHeight="1" x14ac:dyDescent="0.3">
      <c r="A57" s="15" t="s">
        <v>122</v>
      </c>
      <c r="B57" s="17">
        <v>22000000</v>
      </c>
      <c r="C57" s="17">
        <v>14500000</v>
      </c>
      <c r="D57" s="17">
        <v>7500000</v>
      </c>
      <c r="E57" s="18" t="s">
        <v>20</v>
      </c>
    </row>
    <row r="58" spans="1:5" ht="13.5" customHeight="1" x14ac:dyDescent="0.3">
      <c r="A58" s="9" t="s">
        <v>123</v>
      </c>
      <c r="B58" s="11">
        <v>22000000</v>
      </c>
      <c r="C58" s="11">
        <v>11000000</v>
      </c>
      <c r="D58" s="11">
        <v>11000000</v>
      </c>
      <c r="E58" s="19" t="s">
        <v>28</v>
      </c>
    </row>
    <row r="59" spans="1:5" ht="13.5" customHeight="1" x14ac:dyDescent="0.3">
      <c r="A59" s="15" t="s">
        <v>124</v>
      </c>
      <c r="B59" s="17">
        <v>21800000</v>
      </c>
      <c r="C59" s="17">
        <v>19300000</v>
      </c>
      <c r="D59" s="17">
        <v>2500000</v>
      </c>
      <c r="E59" s="18" t="s">
        <v>14</v>
      </c>
    </row>
    <row r="60" spans="1:5" ht="13.5" customHeight="1" x14ac:dyDescent="0.3">
      <c r="A60" s="9" t="s">
        <v>125</v>
      </c>
      <c r="B60" s="11">
        <v>21800000</v>
      </c>
      <c r="C60" s="11">
        <v>19300000</v>
      </c>
      <c r="D60" s="11">
        <v>2500000</v>
      </c>
      <c r="E60" s="19" t="s">
        <v>14</v>
      </c>
    </row>
    <row r="61" spans="1:5" ht="13.5" customHeight="1" x14ac:dyDescent="0.3">
      <c r="A61" s="15" t="s">
        <v>126</v>
      </c>
      <c r="B61" s="17">
        <v>21700000</v>
      </c>
      <c r="C61" s="17">
        <v>19200000</v>
      </c>
      <c r="D61" s="17">
        <v>2500000</v>
      </c>
      <c r="E61" s="18" t="s">
        <v>26</v>
      </c>
    </row>
    <row r="62" spans="1:5" ht="13.5" customHeight="1" x14ac:dyDescent="0.3">
      <c r="A62" s="9" t="s">
        <v>127</v>
      </c>
      <c r="B62" s="11">
        <v>21500000</v>
      </c>
      <c r="C62" s="11">
        <v>18000000</v>
      </c>
      <c r="D62" s="11">
        <v>3500000</v>
      </c>
      <c r="E62" s="19" t="s">
        <v>12</v>
      </c>
    </row>
    <row r="63" spans="1:5" ht="13.5" customHeight="1" x14ac:dyDescent="0.3">
      <c r="A63" s="15" t="s">
        <v>128</v>
      </c>
      <c r="B63" s="17">
        <v>21500000</v>
      </c>
      <c r="C63" s="17">
        <v>21100000</v>
      </c>
      <c r="D63" s="17">
        <v>400000</v>
      </c>
      <c r="E63" s="18" t="s">
        <v>12</v>
      </c>
    </row>
    <row r="64" spans="1:5" ht="13.5" customHeight="1" x14ac:dyDescent="0.3">
      <c r="A64" s="9" t="s">
        <v>129</v>
      </c>
      <c r="B64" s="11">
        <v>21400000</v>
      </c>
      <c r="C64" s="11">
        <v>21200000</v>
      </c>
      <c r="D64" s="11">
        <v>150000</v>
      </c>
      <c r="E64" s="19" t="s">
        <v>20</v>
      </c>
    </row>
    <row r="65" spans="1:5" ht="13.5" customHeight="1" x14ac:dyDescent="0.3">
      <c r="A65" s="15" t="s">
        <v>130</v>
      </c>
      <c r="B65" s="17">
        <v>21300000</v>
      </c>
      <c r="C65" s="17">
        <v>17800000</v>
      </c>
      <c r="D65" s="17">
        <v>3500000</v>
      </c>
      <c r="E65" s="18" t="s">
        <v>26</v>
      </c>
    </row>
    <row r="66" spans="1:5" ht="13.5" customHeight="1" x14ac:dyDescent="0.3">
      <c r="A66" s="9" t="s">
        <v>131</v>
      </c>
      <c r="B66" s="11">
        <v>21200000</v>
      </c>
      <c r="C66" s="11">
        <v>18000000</v>
      </c>
      <c r="D66" s="11">
        <v>3200000</v>
      </c>
      <c r="E66" s="19" t="s">
        <v>22</v>
      </c>
    </row>
    <row r="67" spans="1:5" ht="13.5" customHeight="1" x14ac:dyDescent="0.3">
      <c r="A67" s="15" t="s">
        <v>132</v>
      </c>
      <c r="B67" s="17">
        <v>21100000</v>
      </c>
      <c r="C67" s="17">
        <v>21000000</v>
      </c>
      <c r="D67" s="17">
        <v>100000</v>
      </c>
      <c r="E67" s="18" t="s">
        <v>12</v>
      </c>
    </row>
    <row r="68" spans="1:5" ht="13.5" customHeight="1" x14ac:dyDescent="0.3">
      <c r="A68" s="9" t="s">
        <v>133</v>
      </c>
      <c r="B68" s="11">
        <v>21000000</v>
      </c>
      <c r="C68" s="11">
        <v>19500000</v>
      </c>
      <c r="D68" s="11">
        <v>1500000</v>
      </c>
      <c r="E68" s="19" t="s">
        <v>16</v>
      </c>
    </row>
    <row r="69" spans="1:5" ht="13.5" customHeight="1" x14ac:dyDescent="0.3">
      <c r="A69" s="15" t="s">
        <v>134</v>
      </c>
      <c r="B69" s="17">
        <v>21000000</v>
      </c>
      <c r="C69" s="17">
        <v>10000000</v>
      </c>
      <c r="D69" s="17">
        <v>11000000</v>
      </c>
      <c r="E69" s="18" t="s">
        <v>20</v>
      </c>
    </row>
    <row r="70" spans="1:5" ht="13.5" customHeight="1" x14ac:dyDescent="0.3">
      <c r="A70" s="9" t="s">
        <v>135</v>
      </c>
      <c r="B70" s="11">
        <v>21000000</v>
      </c>
      <c r="C70" s="11">
        <v>13500000</v>
      </c>
      <c r="D70" s="11">
        <v>7500000</v>
      </c>
      <c r="E70" s="19" t="s">
        <v>20</v>
      </c>
    </row>
    <row r="71" spans="1:5" ht="13.5" customHeight="1" x14ac:dyDescent="0.3">
      <c r="A71" s="15" t="s">
        <v>136</v>
      </c>
      <c r="B71" s="17">
        <v>20800000</v>
      </c>
      <c r="C71" s="17">
        <v>20400000</v>
      </c>
      <c r="D71" s="17">
        <v>400000</v>
      </c>
      <c r="E71" s="18" t="s">
        <v>20</v>
      </c>
    </row>
    <row r="72" spans="1:5" ht="13.5" customHeight="1" x14ac:dyDescent="0.3">
      <c r="A72" s="9" t="s">
        <v>137</v>
      </c>
      <c r="B72" s="11">
        <v>20700000</v>
      </c>
      <c r="C72" s="11">
        <v>20500000</v>
      </c>
      <c r="D72" s="11">
        <v>200000</v>
      </c>
      <c r="E72" s="19" t="s">
        <v>12</v>
      </c>
    </row>
    <row r="73" spans="1:5" ht="13.5" customHeight="1" x14ac:dyDescent="0.3">
      <c r="A73" s="15" t="s">
        <v>138</v>
      </c>
      <c r="B73" s="17">
        <v>20700000</v>
      </c>
      <c r="C73" s="17">
        <v>20700000</v>
      </c>
      <c r="D73" s="17">
        <v>50000</v>
      </c>
      <c r="E73" s="18" t="s">
        <v>20</v>
      </c>
    </row>
    <row r="74" spans="1:5" ht="13.5" customHeight="1" x14ac:dyDescent="0.3">
      <c r="A74" s="9" t="s">
        <v>139</v>
      </c>
      <c r="B74" s="11">
        <v>20700000</v>
      </c>
      <c r="C74" s="11">
        <v>20200000</v>
      </c>
      <c r="D74" s="11">
        <v>500000</v>
      </c>
      <c r="E74" s="19" t="s">
        <v>12</v>
      </c>
    </row>
    <row r="75" spans="1:5" ht="13.5" customHeight="1" x14ac:dyDescent="0.3">
      <c r="A75" s="15" t="s">
        <v>140</v>
      </c>
      <c r="B75" s="17">
        <v>20600000</v>
      </c>
      <c r="C75" s="17">
        <v>20300000</v>
      </c>
      <c r="D75" s="17">
        <v>250000</v>
      </c>
      <c r="E75" s="18" t="s">
        <v>12</v>
      </c>
    </row>
    <row r="76" spans="1:5" ht="13.5" customHeight="1" x14ac:dyDescent="0.3">
      <c r="A76" s="9" t="s">
        <v>141</v>
      </c>
      <c r="B76" s="11">
        <v>20500000</v>
      </c>
      <c r="C76" s="11">
        <v>20200000</v>
      </c>
      <c r="D76" s="11">
        <v>300000</v>
      </c>
      <c r="E76" s="19" t="s">
        <v>12</v>
      </c>
    </row>
    <row r="77" spans="1:5" ht="13.5" customHeight="1" x14ac:dyDescent="0.3">
      <c r="A77" s="15" t="s">
        <v>142</v>
      </c>
      <c r="B77" s="17">
        <v>20400000</v>
      </c>
      <c r="C77" s="17">
        <v>20000000</v>
      </c>
      <c r="D77" s="17">
        <v>400000</v>
      </c>
      <c r="E77" s="18" t="s">
        <v>12</v>
      </c>
    </row>
    <row r="78" spans="1:5" ht="13.5" customHeight="1" x14ac:dyDescent="0.3">
      <c r="A78" s="9" t="s">
        <v>143</v>
      </c>
      <c r="B78" s="11">
        <v>20400000</v>
      </c>
      <c r="C78" s="11">
        <v>20300000</v>
      </c>
      <c r="D78" s="11">
        <v>100000</v>
      </c>
      <c r="E78" s="19" t="s">
        <v>12</v>
      </c>
    </row>
    <row r="79" spans="1:5" ht="13.5" customHeight="1" x14ac:dyDescent="0.3">
      <c r="A79" s="15" t="s">
        <v>144</v>
      </c>
      <c r="B79" s="17">
        <v>20300000</v>
      </c>
      <c r="C79" s="17">
        <v>20100000</v>
      </c>
      <c r="D79" s="17">
        <v>200000</v>
      </c>
      <c r="E79" s="18" t="s">
        <v>12</v>
      </c>
    </row>
    <row r="80" spans="1:5" ht="13.5" customHeight="1" x14ac:dyDescent="0.3">
      <c r="A80" s="9" t="s">
        <v>145</v>
      </c>
      <c r="B80" s="11">
        <v>20300000</v>
      </c>
      <c r="C80" s="11">
        <v>18300000</v>
      </c>
      <c r="D80" s="11">
        <v>2000000</v>
      </c>
      <c r="E80" s="19" t="s">
        <v>12</v>
      </c>
    </row>
    <row r="81" spans="1:5" ht="13.5" customHeight="1" x14ac:dyDescent="0.3">
      <c r="A81" s="15" t="s">
        <v>146</v>
      </c>
      <c r="B81" s="17">
        <v>20000000</v>
      </c>
      <c r="C81" s="17">
        <v>18500000</v>
      </c>
      <c r="D81" s="17">
        <v>1500000</v>
      </c>
      <c r="E81" s="18" t="s">
        <v>14</v>
      </c>
    </row>
    <row r="82" spans="1:5" ht="13.5" customHeight="1" x14ac:dyDescent="0.3">
      <c r="A82" s="9" t="s">
        <v>147</v>
      </c>
      <c r="B82" s="11">
        <v>19800000</v>
      </c>
      <c r="C82" s="11">
        <v>14800000</v>
      </c>
      <c r="D82" s="11">
        <v>5000000</v>
      </c>
      <c r="E82" s="19" t="s">
        <v>12</v>
      </c>
    </row>
    <row r="83" spans="1:5" ht="13.5" customHeight="1" x14ac:dyDescent="0.3">
      <c r="A83" s="15" t="s">
        <v>148</v>
      </c>
      <c r="B83" s="17">
        <v>19500000</v>
      </c>
      <c r="C83" s="17">
        <v>16500000</v>
      </c>
      <c r="D83" s="17">
        <v>3000000</v>
      </c>
      <c r="E83" s="18" t="s">
        <v>26</v>
      </c>
    </row>
    <row r="84" spans="1:5" ht="13.5" customHeight="1" x14ac:dyDescent="0.3">
      <c r="A84" s="9" t="s">
        <v>149</v>
      </c>
      <c r="B84" s="11">
        <v>19200000</v>
      </c>
      <c r="C84" s="11">
        <v>14700000</v>
      </c>
      <c r="D84" s="11">
        <v>4500000</v>
      </c>
      <c r="E84" s="19" t="s">
        <v>14</v>
      </c>
    </row>
    <row r="85" spans="1:5" ht="13.5" customHeight="1" x14ac:dyDescent="0.3">
      <c r="A85" s="15" t="s">
        <v>150</v>
      </c>
      <c r="B85" s="17">
        <v>19000000</v>
      </c>
      <c r="C85" s="17">
        <v>18000000</v>
      </c>
      <c r="D85" s="17">
        <v>1000000</v>
      </c>
      <c r="E85" s="18" t="s">
        <v>24</v>
      </c>
    </row>
    <row r="86" spans="1:5" ht="13.5" customHeight="1" x14ac:dyDescent="0.3">
      <c r="A86" s="9" t="s">
        <v>151</v>
      </c>
      <c r="B86" s="11">
        <v>18800000</v>
      </c>
      <c r="C86" s="11">
        <v>18700000</v>
      </c>
      <c r="D86" s="11">
        <v>50000</v>
      </c>
      <c r="E86" s="19" t="s">
        <v>20</v>
      </c>
    </row>
    <row r="87" spans="1:5" ht="13.5" customHeight="1" x14ac:dyDescent="0.3">
      <c r="A87" s="15" t="s">
        <v>152</v>
      </c>
      <c r="B87" s="17">
        <v>18800000</v>
      </c>
      <c r="C87" s="17">
        <v>18300000</v>
      </c>
      <c r="D87" s="17">
        <v>500000</v>
      </c>
      <c r="E87" s="18" t="s">
        <v>14</v>
      </c>
    </row>
    <row r="88" spans="1:5" ht="13.5" customHeight="1" x14ac:dyDescent="0.3">
      <c r="A88" s="9" t="s">
        <v>153</v>
      </c>
      <c r="B88" s="11">
        <v>18700000</v>
      </c>
      <c r="C88" s="11">
        <v>13200000</v>
      </c>
      <c r="D88" s="11">
        <v>5500000</v>
      </c>
      <c r="E88" s="19" t="s">
        <v>26</v>
      </c>
    </row>
    <row r="89" spans="1:5" ht="13.5" customHeight="1" x14ac:dyDescent="0.3">
      <c r="A89" s="15" t="s">
        <v>154</v>
      </c>
      <c r="B89" s="17">
        <v>18700000</v>
      </c>
      <c r="C89" s="17">
        <v>13700000</v>
      </c>
      <c r="D89" s="17">
        <v>5000000</v>
      </c>
      <c r="E89" s="18" t="s">
        <v>24</v>
      </c>
    </row>
    <row r="90" spans="1:5" ht="13.5" customHeight="1" x14ac:dyDescent="0.3">
      <c r="A90" s="9" t="s">
        <v>155</v>
      </c>
      <c r="B90" s="11">
        <v>18600000</v>
      </c>
      <c r="C90" s="11">
        <v>17900000</v>
      </c>
      <c r="D90" s="11">
        <v>700000</v>
      </c>
      <c r="E90" s="19" t="s">
        <v>14</v>
      </c>
    </row>
    <row r="91" spans="1:5" ht="13.5" customHeight="1" x14ac:dyDescent="0.3">
      <c r="A91" s="15" t="s">
        <v>156</v>
      </c>
      <c r="B91" s="17">
        <v>18500000</v>
      </c>
      <c r="C91" s="17">
        <v>17000000</v>
      </c>
      <c r="D91" s="17">
        <v>1500000</v>
      </c>
      <c r="E91" s="18" t="s">
        <v>20</v>
      </c>
    </row>
    <row r="92" spans="1:5" ht="13.5" customHeight="1" x14ac:dyDescent="0.3">
      <c r="A92" s="9" t="s">
        <v>157</v>
      </c>
      <c r="B92" s="11">
        <v>18500000</v>
      </c>
      <c r="C92" s="11">
        <v>12500000</v>
      </c>
      <c r="D92" s="11">
        <v>6000000</v>
      </c>
      <c r="E92" s="19" t="s">
        <v>26</v>
      </c>
    </row>
    <row r="93" spans="1:5" ht="13.5" customHeight="1" x14ac:dyDescent="0.3">
      <c r="A93" s="15" t="s">
        <v>158</v>
      </c>
      <c r="B93" s="17">
        <v>18400000</v>
      </c>
      <c r="C93" s="17">
        <v>18400000</v>
      </c>
      <c r="D93" s="17">
        <v>35000</v>
      </c>
      <c r="E93" s="18" t="s">
        <v>20</v>
      </c>
    </row>
    <row r="94" spans="1:5" ht="13.5" customHeight="1" x14ac:dyDescent="0.3">
      <c r="A94" s="9" t="s">
        <v>159</v>
      </c>
      <c r="B94" s="11">
        <v>18300000</v>
      </c>
      <c r="C94" s="11">
        <v>16800000</v>
      </c>
      <c r="D94" s="11">
        <v>1500000</v>
      </c>
      <c r="E94" s="19" t="s">
        <v>26</v>
      </c>
    </row>
    <row r="95" spans="1:5" ht="13.5" customHeight="1" x14ac:dyDescent="0.3">
      <c r="A95" s="15" t="s">
        <v>160</v>
      </c>
      <c r="B95" s="17">
        <v>18100000</v>
      </c>
      <c r="C95" s="17">
        <v>18000000</v>
      </c>
      <c r="D95" s="17">
        <v>50000</v>
      </c>
      <c r="E95" s="18" t="s">
        <v>12</v>
      </c>
    </row>
    <row r="96" spans="1:5" ht="13.5" customHeight="1" x14ac:dyDescent="0.3">
      <c r="A96" s="9" t="s">
        <v>161</v>
      </c>
      <c r="B96" s="11">
        <v>18000000</v>
      </c>
      <c r="C96" s="11">
        <v>17900000</v>
      </c>
      <c r="D96" s="11">
        <v>100000</v>
      </c>
      <c r="E96" s="19" t="s">
        <v>20</v>
      </c>
    </row>
    <row r="97" spans="1:5" ht="13.5" customHeight="1" x14ac:dyDescent="0.3">
      <c r="A97" s="15" t="s">
        <v>162</v>
      </c>
      <c r="B97" s="17">
        <v>17700000</v>
      </c>
      <c r="C97" s="17">
        <v>8700000</v>
      </c>
      <c r="D97" s="17">
        <v>9000000</v>
      </c>
      <c r="E97" s="18" t="s">
        <v>22</v>
      </c>
    </row>
    <row r="98" spans="1:5" ht="13.5" customHeight="1" x14ac:dyDescent="0.3">
      <c r="A98" s="9" t="s">
        <v>163</v>
      </c>
      <c r="B98" s="11">
        <v>17600000</v>
      </c>
      <c r="C98" s="11">
        <v>17400000</v>
      </c>
      <c r="D98" s="11">
        <v>200000</v>
      </c>
      <c r="E98" s="19" t="s">
        <v>20</v>
      </c>
    </row>
    <row r="99" spans="1:5" ht="13.5" customHeight="1" x14ac:dyDescent="0.3">
      <c r="A99" s="15" t="s">
        <v>164</v>
      </c>
      <c r="B99" s="17">
        <v>17500000</v>
      </c>
      <c r="C99" s="17">
        <v>16800000</v>
      </c>
      <c r="D99" s="17">
        <v>700000</v>
      </c>
      <c r="E99" s="18" t="s">
        <v>20</v>
      </c>
    </row>
    <row r="100" spans="1:5" ht="13.5" customHeight="1" x14ac:dyDescent="0.3">
      <c r="A100" s="9" t="s">
        <v>165</v>
      </c>
      <c r="B100" s="11">
        <v>17500000</v>
      </c>
      <c r="C100" s="11">
        <v>17300000</v>
      </c>
      <c r="D100" s="11">
        <v>200000</v>
      </c>
      <c r="E100" s="19" t="s">
        <v>12</v>
      </c>
    </row>
    <row r="101" spans="1:5" ht="13.5" customHeight="1" x14ac:dyDescent="0.3">
      <c r="A101" s="15" t="s">
        <v>166</v>
      </c>
      <c r="B101" s="17">
        <v>17400000</v>
      </c>
      <c r="C101" s="17">
        <v>17200000</v>
      </c>
      <c r="D101" s="17">
        <v>200000</v>
      </c>
      <c r="E101" s="18" t="s">
        <v>12</v>
      </c>
    </row>
    <row r="102" spans="1:5" ht="13.5" customHeight="1" x14ac:dyDescent="0.3">
      <c r="A102" s="9" t="s">
        <v>167</v>
      </c>
      <c r="B102" s="11">
        <v>17300000</v>
      </c>
      <c r="C102" s="11">
        <v>13300000</v>
      </c>
      <c r="D102" s="11">
        <v>4000000</v>
      </c>
      <c r="E102" s="19" t="s">
        <v>26</v>
      </c>
    </row>
  </sheetData>
  <mergeCells count="1">
    <mergeCell ref="A1:E1"/>
  </mergeCells>
  <conditionalFormatting sqref="B3:B102">
    <cfRule type="colorScale" priority="2">
      <colorScale>
        <cfvo type="min"/>
        <cfvo type="percentile" val="50"/>
        <cfvo type="max"/>
        <color rgb="FFFFC7CE"/>
        <color rgb="FFFFEB9C"/>
        <color rgb="FFFFD700"/>
      </colorScale>
    </cfRule>
    <cfRule type="colorScale" priority="3">
      <colorScale>
        <cfvo type="min"/>
        <cfvo type="percentile" val="50"/>
        <cfvo type="max"/>
        <color rgb="FFFFC7CE"/>
        <color rgb="FFFFEB9C"/>
        <color rgb="FFFFD700"/>
      </colorScale>
    </cfRule>
  </conditionalFormatting>
  <conditionalFormatting sqref="D3:D102">
    <cfRule type="colorScale" priority="4">
      <colorScale>
        <cfvo type="min"/>
        <cfvo type="max"/>
        <color rgb="FFFFFFFF"/>
        <color rgb="FF00B0F0"/>
      </colorScale>
    </cfRule>
    <cfRule type="colorScale" priority="5">
      <colorScale>
        <cfvo type="min"/>
        <cfvo type="max"/>
        <color rgb="FFFFFFFF"/>
        <color rgb="FF00B0F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6"/>
  <sheetViews>
    <sheetView showGridLines="0" zoomScale="84" zoomScaleNormal="84" workbookViewId="0">
      <pane ySplit="2" topLeftCell="A236" activePane="bottomLeft" state="frozen"/>
      <selection pane="bottomLeft" activeCell="G296" sqref="G296"/>
    </sheetView>
  </sheetViews>
  <sheetFormatPr defaultColWidth="10.796875" defaultRowHeight="15.6" x14ac:dyDescent="0.3"/>
  <cols>
    <col min="1" max="1" width="8" style="49" customWidth="1"/>
    <col min="2" max="2" width="16" style="49" customWidth="1"/>
    <col min="3" max="3" width="28" style="49" customWidth="1"/>
    <col min="4" max="4" width="14" style="49" customWidth="1"/>
    <col min="5" max="5" width="22" style="50" customWidth="1"/>
    <col min="6" max="6" width="18" style="51" customWidth="1"/>
    <col min="7" max="7" width="20" style="52" customWidth="1"/>
    <col min="8" max="8" width="16" style="49" customWidth="1"/>
    <col min="9" max="9" width="22" style="52" customWidth="1"/>
    <col min="10" max="10" width="16" style="51" customWidth="1"/>
    <col min="11" max="16384" width="10.796875" style="49"/>
  </cols>
  <sheetData>
    <row r="1" spans="1:19" s="55" customFormat="1" ht="31.5" customHeight="1" x14ac:dyDescent="0.3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53"/>
      <c r="L1" s="53"/>
      <c r="M1" s="54"/>
      <c r="N1" s="54"/>
      <c r="O1" s="54"/>
      <c r="P1" s="54"/>
      <c r="Q1" s="54"/>
      <c r="R1" s="54"/>
      <c r="S1" s="54"/>
    </row>
    <row r="2" spans="1:19" s="58" customFormat="1" ht="39.75" customHeight="1" x14ac:dyDescent="0.35">
      <c r="A2" s="8" t="s">
        <v>169</v>
      </c>
      <c r="B2" s="8" t="s">
        <v>170</v>
      </c>
      <c r="C2" s="8" t="s">
        <v>62</v>
      </c>
      <c r="D2" s="8" t="s">
        <v>3</v>
      </c>
      <c r="E2" s="56" t="s">
        <v>171</v>
      </c>
      <c r="F2" s="57" t="s">
        <v>172</v>
      </c>
      <c r="G2" s="47" t="s">
        <v>173</v>
      </c>
      <c r="H2" s="8" t="s">
        <v>174</v>
      </c>
      <c r="I2" s="47" t="s">
        <v>175</v>
      </c>
      <c r="J2" s="57" t="s">
        <v>176</v>
      </c>
      <c r="K2" s="54"/>
      <c r="L2" s="54"/>
      <c r="M2" s="54"/>
      <c r="N2" s="54"/>
      <c r="O2" s="54"/>
      <c r="P2" s="54"/>
      <c r="Q2" s="54"/>
      <c r="R2" s="54"/>
      <c r="S2" s="54"/>
    </row>
    <row r="3" spans="1:19" ht="23.25" customHeight="1" x14ac:dyDescent="0.45">
      <c r="A3" s="18">
        <v>1</v>
      </c>
      <c r="B3" s="18">
        <v>1</v>
      </c>
      <c r="C3" s="15" t="s">
        <v>177</v>
      </c>
      <c r="D3" s="15" t="s">
        <v>178</v>
      </c>
      <c r="E3" s="17">
        <v>8109912</v>
      </c>
      <c r="F3" s="59">
        <v>6.0000000000000001E-3</v>
      </c>
      <c r="G3" s="17">
        <v>202747812</v>
      </c>
      <c r="H3" s="18">
        <v>3</v>
      </c>
      <c r="I3" s="17">
        <v>31660772</v>
      </c>
      <c r="J3" s="59">
        <v>2.6499999999999999E-2</v>
      </c>
      <c r="K3" s="54"/>
      <c r="L3" s="60"/>
      <c r="M3" s="54"/>
      <c r="N3" s="54"/>
      <c r="O3" s="54"/>
      <c r="P3" s="54"/>
      <c r="Q3" s="54"/>
      <c r="R3" s="54"/>
      <c r="S3" s="54"/>
    </row>
    <row r="4" spans="1:19" ht="15" customHeight="1" x14ac:dyDescent="0.3">
      <c r="A4" s="19">
        <v>2</v>
      </c>
      <c r="B4" s="19">
        <v>5</v>
      </c>
      <c r="C4" s="9" t="s">
        <v>179</v>
      </c>
      <c r="D4" s="9" t="s">
        <v>180</v>
      </c>
      <c r="E4" s="11">
        <v>8031948</v>
      </c>
      <c r="F4" s="61">
        <v>0.123</v>
      </c>
      <c r="G4" s="11">
        <v>208830659</v>
      </c>
      <c r="H4" s="19">
        <v>2</v>
      </c>
      <c r="I4" s="11">
        <v>35789052</v>
      </c>
      <c r="J4" s="61">
        <v>0.05</v>
      </c>
      <c r="K4" s="54"/>
      <c r="L4" s="62"/>
      <c r="M4" s="62"/>
      <c r="N4" s="54"/>
      <c r="O4" s="54"/>
      <c r="P4" s="54"/>
      <c r="Q4" s="54"/>
      <c r="R4" s="54"/>
      <c r="S4" s="54"/>
    </row>
    <row r="5" spans="1:19" ht="15" customHeight="1" x14ac:dyDescent="0.3">
      <c r="A5" s="18">
        <v>3</v>
      </c>
      <c r="B5" s="18">
        <v>2</v>
      </c>
      <c r="C5" s="15" t="s">
        <v>181</v>
      </c>
      <c r="D5" s="15" t="s">
        <v>180</v>
      </c>
      <c r="E5" s="17">
        <v>7778336</v>
      </c>
      <c r="F5" s="59">
        <v>4.1000000000000002E-2</v>
      </c>
      <c r="G5" s="17">
        <v>241128402</v>
      </c>
      <c r="H5" s="18">
        <v>1</v>
      </c>
      <c r="I5" s="17">
        <v>26226200</v>
      </c>
      <c r="J5" s="59">
        <v>0.79</v>
      </c>
      <c r="K5" s="54"/>
      <c r="L5" s="62"/>
      <c r="M5" s="62"/>
      <c r="N5" s="54"/>
      <c r="O5" s="54"/>
      <c r="P5" s="54"/>
      <c r="Q5" s="54"/>
      <c r="R5" s="54"/>
      <c r="S5" s="54"/>
    </row>
    <row r="6" spans="1:19" ht="15" customHeight="1" x14ac:dyDescent="0.3">
      <c r="A6" s="19">
        <v>4</v>
      </c>
      <c r="B6" s="19">
        <v>3</v>
      </c>
      <c r="C6" s="9" t="s">
        <v>182</v>
      </c>
      <c r="D6" s="9" t="s">
        <v>183</v>
      </c>
      <c r="E6" s="11">
        <v>7586438</v>
      </c>
      <c r="F6" s="61">
        <v>3.6999999999999998E-2</v>
      </c>
      <c r="G6" s="11">
        <v>189660944</v>
      </c>
      <c r="H6" s="19">
        <v>5</v>
      </c>
      <c r="I6" s="11">
        <v>36995660</v>
      </c>
      <c r="J6" s="61">
        <v>0.09</v>
      </c>
      <c r="K6" s="54"/>
      <c r="L6" s="62"/>
      <c r="M6" s="62"/>
      <c r="N6" s="54"/>
      <c r="O6" s="54"/>
      <c r="P6" s="54"/>
      <c r="Q6" s="54"/>
      <c r="R6" s="54"/>
      <c r="S6" s="54"/>
    </row>
    <row r="7" spans="1:19" ht="15" customHeight="1" x14ac:dyDescent="0.3">
      <c r="A7" s="18">
        <v>5</v>
      </c>
      <c r="B7" s="18">
        <v>4</v>
      </c>
      <c r="C7" s="15" t="s">
        <v>184</v>
      </c>
      <c r="D7" s="15" t="s">
        <v>183</v>
      </c>
      <c r="E7" s="17">
        <v>7446562</v>
      </c>
      <c r="F7" s="59">
        <v>2.4E-2</v>
      </c>
      <c r="G7" s="17">
        <v>193610600</v>
      </c>
      <c r="H7" s="18">
        <v>4</v>
      </c>
      <c r="I7" s="17">
        <v>37975600</v>
      </c>
      <c r="J7" s="59">
        <v>0.12</v>
      </c>
      <c r="K7" s="54"/>
      <c r="L7" s="62"/>
      <c r="M7" s="62"/>
      <c r="N7" s="54"/>
      <c r="O7" s="54"/>
      <c r="P7" s="54"/>
      <c r="Q7" s="54"/>
      <c r="R7" s="54"/>
      <c r="S7" s="54"/>
    </row>
    <row r="8" spans="1:19" ht="15" customHeight="1" x14ac:dyDescent="0.3">
      <c r="A8" s="19">
        <v>6</v>
      </c>
      <c r="B8" s="19">
        <v>16</v>
      </c>
      <c r="C8" s="9" t="s">
        <v>185</v>
      </c>
      <c r="D8" s="9" t="s">
        <v>186</v>
      </c>
      <c r="E8" s="11">
        <v>6814067</v>
      </c>
      <c r="F8" s="61">
        <v>0.23599999999999999</v>
      </c>
      <c r="G8" s="11">
        <v>102211009</v>
      </c>
      <c r="H8" s="19">
        <v>51</v>
      </c>
      <c r="I8" s="11">
        <v>24108812</v>
      </c>
      <c r="J8" s="61">
        <v>0.65</v>
      </c>
      <c r="K8" s="54"/>
      <c r="L8" s="62"/>
      <c r="M8" s="62"/>
      <c r="N8" s="54"/>
      <c r="O8" s="54"/>
      <c r="P8" s="54"/>
      <c r="Q8" s="54"/>
      <c r="R8" s="54"/>
      <c r="S8" s="54"/>
    </row>
    <row r="9" spans="1:19" ht="15" customHeight="1" x14ac:dyDescent="0.3">
      <c r="A9" s="18">
        <v>7</v>
      </c>
      <c r="B9" s="18">
        <v>9</v>
      </c>
      <c r="C9" s="15" t="s">
        <v>187</v>
      </c>
      <c r="D9" s="15" t="s">
        <v>188</v>
      </c>
      <c r="E9" s="17">
        <v>6689311</v>
      </c>
      <c r="F9" s="59">
        <v>8.6999999999999994E-2</v>
      </c>
      <c r="G9" s="17">
        <v>173922091</v>
      </c>
      <c r="H9" s="18">
        <v>7</v>
      </c>
      <c r="I9" s="17">
        <v>29919552</v>
      </c>
      <c r="J9" s="59">
        <v>0.36</v>
      </c>
      <c r="K9" s="54"/>
      <c r="L9" s="62"/>
      <c r="M9" s="62"/>
      <c r="N9" s="54"/>
      <c r="O9" s="54"/>
      <c r="P9" s="54"/>
      <c r="Q9" s="54"/>
      <c r="R9" s="54"/>
      <c r="S9" s="54"/>
    </row>
    <row r="10" spans="1:19" ht="15" customHeight="1" x14ac:dyDescent="0.3">
      <c r="A10" s="19">
        <v>8</v>
      </c>
      <c r="B10" s="19">
        <v>12</v>
      </c>
      <c r="C10" s="9" t="s">
        <v>189</v>
      </c>
      <c r="D10" s="9" t="s">
        <v>178</v>
      </c>
      <c r="E10" s="11">
        <v>6566775</v>
      </c>
      <c r="F10" s="61">
        <v>8.8999999999999996E-2</v>
      </c>
      <c r="G10" s="11">
        <v>164169367</v>
      </c>
      <c r="H10" s="19">
        <v>8</v>
      </c>
      <c r="I10" s="11">
        <v>27985256</v>
      </c>
      <c r="J10" s="61">
        <v>0.38</v>
      </c>
      <c r="K10" s="54"/>
      <c r="L10" s="62"/>
      <c r="M10" s="62"/>
      <c r="N10" s="54"/>
      <c r="O10" s="54"/>
      <c r="P10" s="54"/>
      <c r="Q10" s="54"/>
      <c r="R10" s="54"/>
      <c r="S10" s="54"/>
    </row>
    <row r="11" spans="1:19" ht="15" customHeight="1" x14ac:dyDescent="0.3">
      <c r="A11" s="18">
        <v>9</v>
      </c>
      <c r="B11" s="18">
        <v>19</v>
      </c>
      <c r="C11" s="15" t="s">
        <v>190</v>
      </c>
      <c r="D11" s="15" t="s">
        <v>186</v>
      </c>
      <c r="E11" s="17">
        <v>6055463</v>
      </c>
      <c r="F11" s="59">
        <v>0.14499999999999999</v>
      </c>
      <c r="G11" s="17">
        <v>78721016</v>
      </c>
      <c r="H11" s="18">
        <v>76</v>
      </c>
      <c r="I11" s="17">
        <v>24709880</v>
      </c>
      <c r="J11" s="59">
        <v>0.51</v>
      </c>
      <c r="K11" s="54"/>
      <c r="L11" s="62"/>
      <c r="M11" s="62"/>
      <c r="N11" s="54"/>
      <c r="O11" s="54"/>
      <c r="P11" s="54"/>
      <c r="Q11" s="54"/>
      <c r="R11" s="54"/>
      <c r="S11" s="54"/>
    </row>
    <row r="12" spans="1:19" ht="15" customHeight="1" x14ac:dyDescent="0.3">
      <c r="A12" s="19">
        <v>10</v>
      </c>
      <c r="B12" s="19">
        <v>8</v>
      </c>
      <c r="C12" s="9" t="s">
        <v>191</v>
      </c>
      <c r="D12" s="9" t="s">
        <v>178</v>
      </c>
      <c r="E12" s="11">
        <v>6053686</v>
      </c>
      <c r="F12" s="61">
        <v>-0.03</v>
      </c>
      <c r="G12" s="11">
        <v>151342140</v>
      </c>
      <c r="H12" s="19">
        <v>12</v>
      </c>
      <c r="I12" s="11">
        <v>30990544</v>
      </c>
      <c r="J12" s="61">
        <v>0.03</v>
      </c>
      <c r="K12" s="54"/>
      <c r="L12" s="62"/>
      <c r="M12" s="62"/>
      <c r="N12" s="54"/>
      <c r="O12" s="54"/>
      <c r="P12" s="54"/>
      <c r="Q12" s="54"/>
      <c r="R12" s="54"/>
      <c r="S12" s="54"/>
    </row>
    <row r="13" spans="1:19" ht="15" customHeight="1" x14ac:dyDescent="0.3">
      <c r="A13" s="18">
        <v>11</v>
      </c>
      <c r="B13" s="18">
        <v>15</v>
      </c>
      <c r="C13" s="15" t="s">
        <v>192</v>
      </c>
      <c r="D13" s="15" t="s">
        <v>178</v>
      </c>
      <c r="E13" s="17">
        <v>5928172</v>
      </c>
      <c r="F13" s="59">
        <v>5.0999999999999997E-2</v>
      </c>
      <c r="G13" s="17">
        <v>148204312</v>
      </c>
      <c r="H13" s="18">
        <v>15</v>
      </c>
      <c r="I13" s="17">
        <v>25892620</v>
      </c>
      <c r="J13" s="59">
        <v>0.38</v>
      </c>
      <c r="K13" s="54"/>
      <c r="L13" s="62"/>
      <c r="M13" s="62"/>
      <c r="N13" s="54"/>
      <c r="O13" s="54"/>
      <c r="P13" s="54"/>
      <c r="Q13" s="54"/>
      <c r="R13" s="54"/>
      <c r="S13" s="54"/>
    </row>
    <row r="14" spans="1:19" ht="15" customHeight="1" x14ac:dyDescent="0.3">
      <c r="A14" s="19">
        <v>12</v>
      </c>
      <c r="B14" s="19">
        <v>20</v>
      </c>
      <c r="C14" s="9" t="s">
        <v>193</v>
      </c>
      <c r="D14" s="9" t="s">
        <v>186</v>
      </c>
      <c r="E14" s="11">
        <v>5867808</v>
      </c>
      <c r="F14" s="61">
        <v>0.13500000000000001</v>
      </c>
      <c r="G14" s="11">
        <v>88017120</v>
      </c>
      <c r="H14" s="19">
        <v>67</v>
      </c>
      <c r="I14" s="11">
        <v>24425648</v>
      </c>
      <c r="J14" s="61">
        <v>0.1</v>
      </c>
      <c r="K14" s="54"/>
      <c r="L14" s="62"/>
      <c r="M14" s="62"/>
      <c r="N14" s="54"/>
      <c r="O14" s="54"/>
      <c r="P14" s="54"/>
      <c r="Q14" s="54"/>
      <c r="R14" s="54"/>
      <c r="S14" s="54"/>
    </row>
    <row r="15" spans="1:19" ht="15" customHeight="1" x14ac:dyDescent="0.3">
      <c r="A15" s="18">
        <v>13</v>
      </c>
      <c r="B15" s="18">
        <v>14</v>
      </c>
      <c r="C15" s="15" t="s">
        <v>194</v>
      </c>
      <c r="D15" s="15" t="s">
        <v>180</v>
      </c>
      <c r="E15" s="17">
        <v>5824233</v>
      </c>
      <c r="F15" s="59">
        <v>0.02</v>
      </c>
      <c r="G15" s="17">
        <v>163078526</v>
      </c>
      <c r="H15" s="18">
        <v>9</v>
      </c>
      <c r="I15" s="17">
        <v>24444264</v>
      </c>
      <c r="J15" s="59">
        <v>0.31</v>
      </c>
      <c r="K15" s="54"/>
      <c r="L15" s="62"/>
      <c r="M15" s="62"/>
      <c r="N15" s="54"/>
      <c r="O15" s="54"/>
      <c r="P15" s="54"/>
      <c r="Q15" s="54"/>
      <c r="R15" s="54"/>
      <c r="S15" s="54"/>
    </row>
    <row r="16" spans="1:19" ht="15" customHeight="1" x14ac:dyDescent="0.3">
      <c r="A16" s="19">
        <v>14</v>
      </c>
      <c r="B16" s="19">
        <v>11</v>
      </c>
      <c r="C16" s="9" t="s">
        <v>195</v>
      </c>
      <c r="D16" s="9" t="s">
        <v>180</v>
      </c>
      <c r="E16" s="11">
        <v>5791002</v>
      </c>
      <c r="F16" s="61">
        <v>-5.5E-2</v>
      </c>
      <c r="G16" s="11">
        <v>179521056</v>
      </c>
      <c r="H16" s="19">
        <v>6</v>
      </c>
      <c r="I16" s="11">
        <v>27555684</v>
      </c>
      <c r="J16" s="61">
        <v>0.43</v>
      </c>
      <c r="K16" s="54"/>
      <c r="L16" s="62"/>
      <c r="M16" s="62"/>
      <c r="N16" s="54"/>
      <c r="O16" s="54"/>
      <c r="P16" s="54"/>
      <c r="Q16" s="54"/>
      <c r="R16" s="54"/>
      <c r="S16" s="54"/>
    </row>
    <row r="17" spans="1:19" ht="15" customHeight="1" x14ac:dyDescent="0.3">
      <c r="A17" s="18">
        <v>15</v>
      </c>
      <c r="B17" s="18">
        <v>22</v>
      </c>
      <c r="C17" s="15" t="s">
        <v>196</v>
      </c>
      <c r="D17" s="15" t="s">
        <v>180</v>
      </c>
      <c r="E17" s="17">
        <v>5717792</v>
      </c>
      <c r="F17" s="59">
        <v>0.13900000000000001</v>
      </c>
      <c r="G17" s="17">
        <v>154380395</v>
      </c>
      <c r="H17" s="18">
        <v>11</v>
      </c>
      <c r="I17" s="17">
        <v>26406068</v>
      </c>
      <c r="J17" s="59">
        <v>0.25</v>
      </c>
      <c r="K17" s="54"/>
      <c r="L17" s="54"/>
      <c r="M17" s="54"/>
      <c r="N17" s="54"/>
      <c r="O17" s="54"/>
      <c r="P17" s="54"/>
      <c r="Q17" s="54"/>
      <c r="R17" s="54"/>
      <c r="S17" s="54"/>
    </row>
    <row r="18" spans="1:19" ht="15" customHeight="1" x14ac:dyDescent="0.3">
      <c r="A18" s="19">
        <v>16</v>
      </c>
      <c r="B18" s="19">
        <v>17</v>
      </c>
      <c r="C18" s="9" t="s">
        <v>197</v>
      </c>
      <c r="D18" s="9" t="s">
        <v>186</v>
      </c>
      <c r="E18" s="11">
        <v>5568543</v>
      </c>
      <c r="F18" s="61">
        <v>1.2999999999999999E-2</v>
      </c>
      <c r="G18" s="11">
        <v>83528143</v>
      </c>
      <c r="H18" s="19">
        <v>72</v>
      </c>
      <c r="I18" s="11">
        <v>23380396</v>
      </c>
      <c r="J18" s="61">
        <v>0.54</v>
      </c>
      <c r="K18" s="54"/>
      <c r="L18" s="54"/>
      <c r="M18" s="54"/>
      <c r="N18" s="54"/>
      <c r="O18" s="54"/>
      <c r="P18" s="54"/>
      <c r="Q18" s="54"/>
      <c r="R18" s="54"/>
      <c r="S18" s="54"/>
    </row>
    <row r="19" spans="1:19" ht="15" customHeight="1" x14ac:dyDescent="0.3">
      <c r="A19" s="18">
        <v>17</v>
      </c>
      <c r="B19" s="18">
        <v>23</v>
      </c>
      <c r="C19" s="15" t="s">
        <v>198</v>
      </c>
      <c r="D19" s="15" t="s">
        <v>180</v>
      </c>
      <c r="E19" s="17">
        <v>5490339</v>
      </c>
      <c r="F19" s="59">
        <v>9.6000000000000002E-2</v>
      </c>
      <c r="G19" s="17">
        <v>148239158</v>
      </c>
      <c r="H19" s="18">
        <v>14</v>
      </c>
      <c r="I19" s="17">
        <v>21697572</v>
      </c>
      <c r="J19" s="59">
        <v>0.89</v>
      </c>
      <c r="K19" s="54"/>
      <c r="L19" s="54"/>
      <c r="M19" s="54"/>
      <c r="N19" s="54"/>
      <c r="O19" s="54"/>
      <c r="P19" s="54"/>
      <c r="Q19" s="54"/>
      <c r="R19" s="54"/>
      <c r="S19" s="54"/>
    </row>
    <row r="20" spans="1:19" ht="15" customHeight="1" x14ac:dyDescent="0.3">
      <c r="A20" s="19">
        <v>18</v>
      </c>
      <c r="B20" s="19">
        <v>35</v>
      </c>
      <c r="C20" s="9" t="s">
        <v>199</v>
      </c>
      <c r="D20" s="9" t="s">
        <v>200</v>
      </c>
      <c r="E20" s="11">
        <v>5336821</v>
      </c>
      <c r="F20" s="61">
        <v>0.16200000000000001</v>
      </c>
      <c r="G20" s="11">
        <v>149431000</v>
      </c>
      <c r="H20" s="19">
        <v>13</v>
      </c>
      <c r="I20" s="11">
        <v>20990372</v>
      </c>
      <c r="J20" s="61">
        <v>1.3899999999999999E-2</v>
      </c>
      <c r="K20" s="54"/>
      <c r="L20" s="54"/>
      <c r="M20" s="54"/>
      <c r="N20" s="54"/>
      <c r="O20" s="54"/>
      <c r="P20" s="54"/>
      <c r="Q20" s="54"/>
      <c r="R20" s="54"/>
      <c r="S20" s="54"/>
    </row>
    <row r="21" spans="1:19" ht="15" customHeight="1" x14ac:dyDescent="0.3">
      <c r="A21" s="18">
        <v>19</v>
      </c>
      <c r="B21" s="18">
        <v>7</v>
      </c>
      <c r="C21" s="15" t="s">
        <v>201</v>
      </c>
      <c r="D21" s="15" t="s">
        <v>186</v>
      </c>
      <c r="E21" s="17">
        <v>5182926</v>
      </c>
      <c r="F21" s="59">
        <v>-0.17599999999999999</v>
      </c>
      <c r="G21" s="17">
        <v>77743891</v>
      </c>
      <c r="H21" s="18">
        <v>78</v>
      </c>
      <c r="I21" s="17">
        <v>29883100</v>
      </c>
      <c r="J21" s="59">
        <v>-7.0000000000000007E-2</v>
      </c>
      <c r="K21" s="54"/>
      <c r="L21" s="54"/>
      <c r="M21" s="54"/>
      <c r="N21" s="54"/>
      <c r="O21" s="54"/>
      <c r="P21" s="54"/>
      <c r="Q21" s="54"/>
      <c r="R21" s="54"/>
      <c r="S21" s="54"/>
    </row>
    <row r="22" spans="1:19" ht="15" customHeight="1" x14ac:dyDescent="0.3">
      <c r="A22" s="19">
        <v>20</v>
      </c>
      <c r="B22" s="19">
        <v>21</v>
      </c>
      <c r="C22" s="9" t="s">
        <v>202</v>
      </c>
      <c r="D22" s="9" t="s">
        <v>178</v>
      </c>
      <c r="E22" s="11">
        <v>5171351</v>
      </c>
      <c r="F22" s="61">
        <v>2E-3</v>
      </c>
      <c r="G22" s="11">
        <v>129283779</v>
      </c>
      <c r="H22" s="19">
        <v>20</v>
      </c>
      <c r="I22" s="11">
        <v>24648884</v>
      </c>
      <c r="J22" s="61">
        <v>0.25</v>
      </c>
      <c r="K22" s="54"/>
      <c r="L22" s="54"/>
      <c r="M22" s="54"/>
      <c r="N22" s="54"/>
      <c r="O22" s="54"/>
      <c r="P22" s="54"/>
      <c r="Q22" s="54"/>
      <c r="R22" s="54"/>
      <c r="S22" s="54"/>
    </row>
    <row r="23" spans="1:19" ht="15" customHeight="1" x14ac:dyDescent="0.3">
      <c r="A23" s="18">
        <v>21</v>
      </c>
      <c r="B23" s="18">
        <v>18</v>
      </c>
      <c r="C23" s="15" t="s">
        <v>203</v>
      </c>
      <c r="D23" s="15" t="s">
        <v>186</v>
      </c>
      <c r="E23" s="17">
        <v>5087128</v>
      </c>
      <c r="F23" s="59">
        <v>-6.2E-2</v>
      </c>
      <c r="G23" s="17">
        <v>71219789</v>
      </c>
      <c r="H23" s="18">
        <v>86</v>
      </c>
      <c r="I23" s="17">
        <v>26422812</v>
      </c>
      <c r="J23" s="59">
        <v>-0.05</v>
      </c>
      <c r="K23" s="54"/>
      <c r="L23" s="54"/>
      <c r="M23" s="54"/>
      <c r="N23" s="54"/>
      <c r="O23" s="54"/>
      <c r="P23" s="54"/>
      <c r="Q23" s="54"/>
      <c r="R23" s="54"/>
      <c r="S23" s="54"/>
    </row>
    <row r="24" spans="1:19" ht="15" customHeight="1" x14ac:dyDescent="0.3">
      <c r="A24" s="19">
        <v>22</v>
      </c>
      <c r="B24" s="19">
        <v>26</v>
      </c>
      <c r="C24" s="9" t="s">
        <v>204</v>
      </c>
      <c r="D24" s="9" t="s">
        <v>186</v>
      </c>
      <c r="E24" s="11">
        <v>5024550</v>
      </c>
      <c r="F24" s="61">
        <v>2.3E-2</v>
      </c>
      <c r="G24" s="11">
        <v>70343704</v>
      </c>
      <c r="H24" s="19">
        <v>87</v>
      </c>
      <c r="I24" s="11">
        <v>20886632</v>
      </c>
      <c r="J24" s="61">
        <v>0.47</v>
      </c>
      <c r="K24" s="54"/>
      <c r="L24" s="54"/>
      <c r="M24" s="54"/>
      <c r="N24" s="54"/>
      <c r="O24" s="54"/>
      <c r="P24" s="54"/>
      <c r="Q24" s="54"/>
      <c r="R24" s="54"/>
      <c r="S24" s="54"/>
    </row>
    <row r="25" spans="1:19" ht="15" customHeight="1" x14ac:dyDescent="0.3">
      <c r="A25" s="18">
        <v>23</v>
      </c>
      <c r="B25" s="18">
        <v>38</v>
      </c>
      <c r="C25" s="15" t="s">
        <v>205</v>
      </c>
      <c r="D25" s="15" t="s">
        <v>186</v>
      </c>
      <c r="E25" s="17">
        <v>4994377</v>
      </c>
      <c r="F25" s="59">
        <v>0.13100000000000001</v>
      </c>
      <c r="G25" s="17">
        <v>69921277</v>
      </c>
      <c r="H25" s="18">
        <v>88</v>
      </c>
      <c r="I25" s="17">
        <v>21167692</v>
      </c>
      <c r="J25" s="59">
        <v>0.15</v>
      </c>
      <c r="K25" s="54"/>
      <c r="L25" s="54"/>
      <c r="M25" s="54"/>
      <c r="N25" s="54"/>
      <c r="O25" s="54"/>
      <c r="P25" s="54"/>
      <c r="Q25" s="54"/>
      <c r="R25" s="54"/>
      <c r="S25" s="54"/>
    </row>
    <row r="26" spans="1:19" ht="15" customHeight="1" x14ac:dyDescent="0.3">
      <c r="A26" s="19">
        <v>24</v>
      </c>
      <c r="B26" s="19">
        <v>33</v>
      </c>
      <c r="C26" s="9" t="s">
        <v>206</v>
      </c>
      <c r="D26" s="9" t="s">
        <v>207</v>
      </c>
      <c r="E26" s="11">
        <v>4964375</v>
      </c>
      <c r="F26" s="61">
        <v>6.5000000000000002E-2</v>
      </c>
      <c r="G26" s="11">
        <v>12220000</v>
      </c>
      <c r="H26" s="19">
        <v>218</v>
      </c>
      <c r="I26" s="11">
        <v>21698248</v>
      </c>
      <c r="J26" s="61">
        <v>0.26</v>
      </c>
      <c r="K26" s="54"/>
      <c r="L26" s="54"/>
      <c r="M26" s="54"/>
      <c r="N26" s="54"/>
      <c r="O26" s="54"/>
      <c r="P26" s="54"/>
      <c r="Q26" s="54"/>
      <c r="R26" s="54"/>
      <c r="S26" s="54"/>
    </row>
    <row r="27" spans="1:19" ht="15" customHeight="1" x14ac:dyDescent="0.3">
      <c r="A27" s="18">
        <v>25</v>
      </c>
      <c r="B27" s="18">
        <v>58</v>
      </c>
      <c r="C27" s="15" t="s">
        <v>208</v>
      </c>
      <c r="D27" s="15" t="s">
        <v>200</v>
      </c>
      <c r="E27" s="17">
        <v>4937720</v>
      </c>
      <c r="F27" s="59">
        <v>0.35299999999999998</v>
      </c>
      <c r="G27" s="17">
        <v>123443000</v>
      </c>
      <c r="H27" s="18">
        <v>22</v>
      </c>
      <c r="I27" s="17">
        <v>17336800</v>
      </c>
      <c r="J27" s="59">
        <v>2.3599999999999999E-2</v>
      </c>
      <c r="K27" s="54"/>
      <c r="L27" s="54"/>
      <c r="M27" s="54"/>
      <c r="N27" s="54"/>
      <c r="O27" s="54"/>
      <c r="P27" s="54"/>
      <c r="Q27" s="54"/>
      <c r="R27" s="54"/>
      <c r="S27" s="54"/>
    </row>
    <row r="28" spans="1:19" ht="15" customHeight="1" x14ac:dyDescent="0.3">
      <c r="A28" s="19">
        <v>26</v>
      </c>
      <c r="B28" s="19">
        <v>24</v>
      </c>
      <c r="C28" s="9" t="s">
        <v>209</v>
      </c>
      <c r="D28" s="9" t="s">
        <v>186</v>
      </c>
      <c r="E28" s="11">
        <v>4929758</v>
      </c>
      <c r="F28" s="61">
        <v>-3.0000000000000001E-3</v>
      </c>
      <c r="G28" s="11">
        <v>73946375</v>
      </c>
      <c r="H28" s="19">
        <v>84</v>
      </c>
      <c r="I28" s="11">
        <v>21818264</v>
      </c>
      <c r="J28" s="61">
        <v>0.43</v>
      </c>
      <c r="K28" s="54"/>
      <c r="L28" s="54"/>
      <c r="M28" s="54"/>
      <c r="N28" s="54"/>
      <c r="O28" s="54"/>
      <c r="P28" s="54"/>
      <c r="Q28" s="54"/>
      <c r="R28" s="54"/>
      <c r="S28" s="54"/>
    </row>
    <row r="29" spans="1:19" ht="15" customHeight="1" x14ac:dyDescent="0.3">
      <c r="A29" s="18">
        <v>27</v>
      </c>
      <c r="B29" s="18">
        <v>6</v>
      </c>
      <c r="C29" s="15" t="s">
        <v>210</v>
      </c>
      <c r="D29" s="15" t="s">
        <v>200</v>
      </c>
      <c r="E29" s="17">
        <v>4872750</v>
      </c>
      <c r="F29" s="59">
        <v>-0.26</v>
      </c>
      <c r="G29" s="17">
        <v>155928000</v>
      </c>
      <c r="H29" s="18">
        <v>10</v>
      </c>
      <c r="I29" s="17">
        <v>26529984</v>
      </c>
      <c r="J29" s="59">
        <v>0.47</v>
      </c>
      <c r="K29" s="54"/>
      <c r="L29" s="54"/>
      <c r="M29" s="54"/>
      <c r="N29" s="54"/>
      <c r="O29" s="54"/>
      <c r="P29" s="54"/>
      <c r="Q29" s="54"/>
      <c r="R29" s="54"/>
      <c r="S29" s="54"/>
    </row>
    <row r="30" spans="1:19" ht="15" customHeight="1" x14ac:dyDescent="0.3">
      <c r="A30" s="19">
        <v>28</v>
      </c>
      <c r="B30" s="19">
        <v>30</v>
      </c>
      <c r="C30" s="9" t="s">
        <v>211</v>
      </c>
      <c r="D30" s="9" t="s">
        <v>186</v>
      </c>
      <c r="E30" s="11">
        <v>4803879</v>
      </c>
      <c r="F30" s="61">
        <v>1.2999999999999999E-2</v>
      </c>
      <c r="G30" s="11">
        <v>67254306</v>
      </c>
      <c r="H30" s="19">
        <v>98</v>
      </c>
      <c r="I30" s="11">
        <v>21512296</v>
      </c>
      <c r="J30" s="61">
        <v>0.37</v>
      </c>
      <c r="K30" s="54"/>
      <c r="L30" s="54"/>
      <c r="M30" s="54"/>
      <c r="N30" s="54"/>
      <c r="O30" s="54"/>
      <c r="P30" s="54"/>
      <c r="Q30" s="54"/>
      <c r="R30" s="54"/>
      <c r="S30" s="54"/>
    </row>
    <row r="31" spans="1:19" ht="15" customHeight="1" x14ac:dyDescent="0.3">
      <c r="A31" s="18">
        <v>29</v>
      </c>
      <c r="B31" s="18">
        <v>41</v>
      </c>
      <c r="C31" s="15" t="s">
        <v>212</v>
      </c>
      <c r="D31" s="15" t="s">
        <v>180</v>
      </c>
      <c r="E31" s="17">
        <v>4798812</v>
      </c>
      <c r="F31" s="59">
        <v>9.4E-2</v>
      </c>
      <c r="G31" s="17">
        <v>134366735</v>
      </c>
      <c r="H31" s="18">
        <v>16</v>
      </c>
      <c r="I31" s="17">
        <v>15697292</v>
      </c>
      <c r="J31" s="59">
        <v>1.8499999999999999E-2</v>
      </c>
      <c r="K31" s="54"/>
      <c r="L31" s="54"/>
      <c r="M31" s="54"/>
      <c r="N31" s="54"/>
      <c r="O31" s="54"/>
      <c r="P31" s="54"/>
      <c r="Q31" s="54"/>
      <c r="R31" s="54"/>
      <c r="S31" s="54"/>
    </row>
    <row r="32" spans="1:19" ht="15" customHeight="1" x14ac:dyDescent="0.3">
      <c r="A32" s="19">
        <v>30</v>
      </c>
      <c r="B32" s="19">
        <v>55</v>
      </c>
      <c r="C32" s="9" t="s">
        <v>213</v>
      </c>
      <c r="D32" s="9" t="s">
        <v>180</v>
      </c>
      <c r="E32" s="11">
        <v>4793619</v>
      </c>
      <c r="F32" s="61">
        <v>0.26400000000000001</v>
      </c>
      <c r="G32" s="11">
        <v>129427700</v>
      </c>
      <c r="H32" s="19">
        <v>19</v>
      </c>
      <c r="I32" s="11">
        <v>15125188</v>
      </c>
      <c r="J32" s="61">
        <v>1.6299999999999999E-2</v>
      </c>
      <c r="K32" s="54"/>
      <c r="L32" s="54"/>
      <c r="M32" s="54"/>
      <c r="N32" s="54"/>
      <c r="O32" s="54"/>
      <c r="P32" s="54"/>
      <c r="Q32" s="54"/>
      <c r="R32" s="54"/>
      <c r="S32" s="54"/>
    </row>
    <row r="33" spans="1:19" ht="15" customHeight="1" x14ac:dyDescent="0.3">
      <c r="A33" s="18">
        <v>31</v>
      </c>
      <c r="B33" s="18">
        <v>10</v>
      </c>
      <c r="C33" s="15" t="s">
        <v>214</v>
      </c>
      <c r="D33" s="15" t="s">
        <v>200</v>
      </c>
      <c r="E33" s="17">
        <v>4640714</v>
      </c>
      <c r="F33" s="59">
        <v>-0.251</v>
      </c>
      <c r="G33" s="17">
        <v>129940000</v>
      </c>
      <c r="H33" s="18">
        <v>18</v>
      </c>
      <c r="I33" s="17">
        <v>25662988</v>
      </c>
      <c r="J33" s="59">
        <v>0.49</v>
      </c>
      <c r="K33" s="54"/>
      <c r="L33" s="54"/>
      <c r="M33" s="54"/>
      <c r="N33" s="54"/>
      <c r="O33" s="54"/>
      <c r="P33" s="54"/>
      <c r="Q33" s="54"/>
      <c r="R33" s="54"/>
      <c r="S33" s="54"/>
    </row>
    <row r="34" spans="1:19" ht="15" customHeight="1" x14ac:dyDescent="0.3">
      <c r="A34" s="19">
        <v>32</v>
      </c>
      <c r="B34" s="19">
        <v>66</v>
      </c>
      <c r="C34" s="9" t="s">
        <v>215</v>
      </c>
      <c r="D34" s="9" t="s">
        <v>186</v>
      </c>
      <c r="E34" s="11">
        <v>4605265</v>
      </c>
      <c r="F34" s="61">
        <v>0.39400000000000002</v>
      </c>
      <c r="G34" s="11">
        <v>64473705</v>
      </c>
      <c r="H34" s="19">
        <v>106</v>
      </c>
      <c r="I34" s="11">
        <v>20708116</v>
      </c>
      <c r="J34" s="61">
        <v>0.03</v>
      </c>
      <c r="K34" s="54"/>
      <c r="L34" s="54"/>
      <c r="M34" s="54"/>
      <c r="N34" s="54"/>
      <c r="O34" s="54"/>
      <c r="P34" s="54"/>
      <c r="Q34" s="54"/>
      <c r="R34" s="54"/>
      <c r="S34" s="54"/>
    </row>
    <row r="35" spans="1:19" ht="15" customHeight="1" x14ac:dyDescent="0.3">
      <c r="A35" s="18">
        <v>33</v>
      </c>
      <c r="B35" s="18">
        <v>13</v>
      </c>
      <c r="C35" s="15" t="s">
        <v>216</v>
      </c>
      <c r="D35" s="15" t="s">
        <v>186</v>
      </c>
      <c r="E35" s="17">
        <v>4581088</v>
      </c>
      <c r="F35" s="59">
        <v>-0.19900000000000001</v>
      </c>
      <c r="G35" s="17">
        <v>68716326</v>
      </c>
      <c r="H35" s="18">
        <v>90</v>
      </c>
      <c r="I35" s="17">
        <v>22709544</v>
      </c>
      <c r="J35" s="59">
        <v>0.56999999999999995</v>
      </c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5" customHeight="1" x14ac:dyDescent="0.3">
      <c r="A36" s="19">
        <v>34</v>
      </c>
      <c r="B36" s="19">
        <v>54</v>
      </c>
      <c r="C36" s="9" t="s">
        <v>217</v>
      </c>
      <c r="D36" s="9" t="s">
        <v>186</v>
      </c>
      <c r="E36" s="11">
        <v>4512792</v>
      </c>
      <c r="F36" s="61">
        <v>0.18099999999999999</v>
      </c>
      <c r="G36" s="11">
        <v>67691881</v>
      </c>
      <c r="H36" s="19">
        <v>94</v>
      </c>
      <c r="I36" s="11">
        <v>18810272</v>
      </c>
      <c r="J36" s="61">
        <v>0.12</v>
      </c>
      <c r="K36" s="54"/>
      <c r="L36" s="54"/>
      <c r="M36" s="54"/>
      <c r="N36" s="54"/>
      <c r="O36" s="54"/>
      <c r="P36" s="54"/>
      <c r="Q36" s="54"/>
      <c r="R36" s="54"/>
      <c r="S36" s="54"/>
    </row>
    <row r="37" spans="1:19" ht="15" customHeight="1" x14ac:dyDescent="0.3">
      <c r="A37" s="18">
        <v>35</v>
      </c>
      <c r="B37" s="18">
        <v>42</v>
      </c>
      <c r="C37" s="15" t="s">
        <v>218</v>
      </c>
      <c r="D37" s="15" t="s">
        <v>186</v>
      </c>
      <c r="E37" s="17">
        <v>4488293</v>
      </c>
      <c r="F37" s="59">
        <v>5.1999999999999998E-2</v>
      </c>
      <c r="G37" s="17">
        <v>67324401</v>
      </c>
      <c r="H37" s="18">
        <v>96</v>
      </c>
      <c r="I37" s="17">
        <v>23446072</v>
      </c>
      <c r="J37" s="59">
        <v>-0.03</v>
      </c>
      <c r="K37" s="54"/>
      <c r="L37" s="54"/>
      <c r="M37" s="54"/>
      <c r="N37" s="54"/>
      <c r="O37" s="54"/>
      <c r="P37" s="54"/>
      <c r="Q37" s="54"/>
      <c r="R37" s="54"/>
      <c r="S37" s="54"/>
    </row>
    <row r="38" spans="1:19" ht="15" customHeight="1" x14ac:dyDescent="0.3">
      <c r="A38" s="19">
        <v>36</v>
      </c>
      <c r="B38" s="19">
        <v>43</v>
      </c>
      <c r="C38" s="9" t="s">
        <v>219</v>
      </c>
      <c r="D38" s="9" t="s">
        <v>186</v>
      </c>
      <c r="E38" s="11">
        <v>4485331</v>
      </c>
      <c r="F38" s="61">
        <v>7.0000000000000007E-2</v>
      </c>
      <c r="G38" s="11">
        <v>67279965</v>
      </c>
      <c r="H38" s="19">
        <v>97</v>
      </c>
      <c r="I38" s="11">
        <v>24320660</v>
      </c>
      <c r="J38" s="61">
        <v>-0.23</v>
      </c>
      <c r="K38" s="54"/>
      <c r="L38" s="54"/>
      <c r="M38" s="54"/>
      <c r="N38" s="54"/>
      <c r="O38" s="54"/>
      <c r="P38" s="54"/>
      <c r="Q38" s="54"/>
      <c r="R38" s="54"/>
      <c r="S38" s="54"/>
    </row>
    <row r="39" spans="1:19" ht="15" customHeight="1" x14ac:dyDescent="0.3">
      <c r="A39" s="18">
        <v>37</v>
      </c>
      <c r="B39" s="18">
        <v>45</v>
      </c>
      <c r="C39" s="15" t="s">
        <v>220</v>
      </c>
      <c r="D39" s="15" t="s">
        <v>186</v>
      </c>
      <c r="E39" s="17">
        <v>4437526</v>
      </c>
      <c r="F39" s="59">
        <v>7.2999999999999995E-2</v>
      </c>
      <c r="G39" s="17">
        <v>62125365</v>
      </c>
      <c r="H39" s="18">
        <v>120</v>
      </c>
      <c r="I39" s="17">
        <v>18964192</v>
      </c>
      <c r="J39" s="59">
        <v>0.12</v>
      </c>
      <c r="K39" s="54"/>
      <c r="L39" s="54"/>
      <c r="M39" s="54"/>
      <c r="N39" s="54"/>
      <c r="O39" s="54"/>
      <c r="P39" s="54"/>
      <c r="Q39" s="54"/>
      <c r="R39" s="54"/>
      <c r="S39" s="54"/>
    </row>
    <row r="40" spans="1:19" ht="15" customHeight="1" x14ac:dyDescent="0.3">
      <c r="A40" s="19">
        <v>38</v>
      </c>
      <c r="B40" s="19">
        <v>31</v>
      </c>
      <c r="C40" s="9" t="s">
        <v>221</v>
      </c>
      <c r="D40" s="9" t="s">
        <v>180</v>
      </c>
      <c r="E40" s="11">
        <v>4415397</v>
      </c>
      <c r="F40" s="61">
        <v>-6.8000000000000005E-2</v>
      </c>
      <c r="G40" s="11">
        <v>128046500</v>
      </c>
      <c r="H40" s="19">
        <v>21</v>
      </c>
      <c r="I40" s="11">
        <v>23172448</v>
      </c>
      <c r="J40" s="61">
        <v>0.05</v>
      </c>
      <c r="K40" s="54"/>
      <c r="L40" s="54"/>
      <c r="M40" s="54"/>
      <c r="N40" s="54"/>
      <c r="O40" s="54"/>
      <c r="P40" s="54"/>
      <c r="Q40" s="54"/>
      <c r="R40" s="54"/>
      <c r="S40" s="54"/>
    </row>
    <row r="41" spans="1:19" ht="15" customHeight="1" x14ac:dyDescent="0.3">
      <c r="A41" s="18">
        <v>39</v>
      </c>
      <c r="B41" s="18">
        <v>32</v>
      </c>
      <c r="C41" s="15" t="s">
        <v>222</v>
      </c>
      <c r="D41" s="15" t="s">
        <v>207</v>
      </c>
      <c r="E41" s="17">
        <v>4390750</v>
      </c>
      <c r="F41" s="59">
        <v>-7.0999999999999994E-2</v>
      </c>
      <c r="G41" s="17">
        <v>10808000</v>
      </c>
      <c r="H41" s="18">
        <v>222</v>
      </c>
      <c r="I41" s="17">
        <v>22543976</v>
      </c>
      <c r="J41" s="59">
        <v>-0.09</v>
      </c>
      <c r="K41" s="54"/>
      <c r="L41" s="54"/>
      <c r="M41" s="54"/>
      <c r="N41" s="54"/>
      <c r="O41" s="54"/>
      <c r="P41" s="54"/>
      <c r="Q41" s="54"/>
      <c r="R41" s="54"/>
      <c r="S41" s="54"/>
    </row>
    <row r="42" spans="1:19" ht="15" customHeight="1" x14ac:dyDescent="0.3">
      <c r="A42" s="19">
        <v>40</v>
      </c>
      <c r="B42" s="19">
        <v>28</v>
      </c>
      <c r="C42" s="9" t="s">
        <v>223</v>
      </c>
      <c r="D42" s="9" t="s">
        <v>207</v>
      </c>
      <c r="E42" s="11">
        <v>4387500</v>
      </c>
      <c r="F42" s="61">
        <v>-9.4E-2</v>
      </c>
      <c r="G42" s="11">
        <v>11475000</v>
      </c>
      <c r="H42" s="19">
        <v>221</v>
      </c>
      <c r="I42" s="11">
        <v>22398168</v>
      </c>
      <c r="J42" s="61">
        <v>-0.11</v>
      </c>
      <c r="K42" s="54"/>
      <c r="L42" s="54"/>
      <c r="M42" s="54"/>
      <c r="N42" s="54"/>
      <c r="O42" s="54"/>
      <c r="P42" s="54"/>
      <c r="Q42" s="54"/>
      <c r="R42" s="54"/>
      <c r="S42" s="54"/>
    </row>
    <row r="43" spans="1:19" ht="15" customHeight="1" x14ac:dyDescent="0.3">
      <c r="A43" s="18">
        <v>41</v>
      </c>
      <c r="B43" s="18">
        <v>29</v>
      </c>
      <c r="C43" s="15" t="s">
        <v>224</v>
      </c>
      <c r="D43" s="15" t="s">
        <v>207</v>
      </c>
      <c r="E43" s="17">
        <v>4296094</v>
      </c>
      <c r="F43" s="59">
        <v>-0.112</v>
      </c>
      <c r="G43" s="17">
        <v>10575000</v>
      </c>
      <c r="H43" s="18">
        <v>225</v>
      </c>
      <c r="I43" s="17">
        <v>20270952</v>
      </c>
      <c r="J43" s="59">
        <v>0.04</v>
      </c>
      <c r="K43" s="54"/>
      <c r="L43" s="54"/>
      <c r="M43" s="54"/>
      <c r="N43" s="54"/>
      <c r="O43" s="54"/>
      <c r="P43" s="54"/>
      <c r="Q43" s="54"/>
      <c r="R43" s="54"/>
      <c r="S43" s="54"/>
    </row>
    <row r="44" spans="1:19" ht="15" customHeight="1" x14ac:dyDescent="0.3">
      <c r="A44" s="19">
        <v>42</v>
      </c>
      <c r="B44" s="19">
        <v>25</v>
      </c>
      <c r="C44" s="9" t="s">
        <v>225</v>
      </c>
      <c r="D44" s="9" t="s">
        <v>186</v>
      </c>
      <c r="E44" s="11">
        <v>4291217</v>
      </c>
      <c r="F44" s="61">
        <v>-0.13100000000000001</v>
      </c>
      <c r="G44" s="11">
        <v>64368261</v>
      </c>
      <c r="H44" s="19">
        <v>107</v>
      </c>
      <c r="I44" s="11">
        <v>21936512</v>
      </c>
      <c r="J44" s="61">
        <v>0.32</v>
      </c>
      <c r="K44" s="54"/>
      <c r="L44" s="54"/>
      <c r="M44" s="54"/>
      <c r="N44" s="54"/>
      <c r="O44" s="54"/>
      <c r="P44" s="54"/>
      <c r="Q44" s="54"/>
      <c r="R44" s="54"/>
      <c r="S44" s="54"/>
    </row>
    <row r="45" spans="1:19" ht="15" customHeight="1" x14ac:dyDescent="0.3">
      <c r="A45" s="18">
        <v>43</v>
      </c>
      <c r="B45" s="18">
        <v>50</v>
      </c>
      <c r="C45" s="15" t="s">
        <v>226</v>
      </c>
      <c r="D45" s="15" t="s">
        <v>186</v>
      </c>
      <c r="E45" s="17">
        <v>4267204</v>
      </c>
      <c r="F45" s="59">
        <v>5.0999999999999997E-2</v>
      </c>
      <c r="G45" s="17">
        <v>64008065</v>
      </c>
      <c r="H45" s="18">
        <v>110</v>
      </c>
      <c r="I45" s="17">
        <v>20217132</v>
      </c>
      <c r="J45" s="59">
        <v>-0.03</v>
      </c>
      <c r="K45" s="54"/>
      <c r="L45" s="54"/>
      <c r="M45" s="54"/>
      <c r="N45" s="54"/>
      <c r="O45" s="54"/>
      <c r="P45" s="54"/>
      <c r="Q45" s="54"/>
      <c r="R45" s="54"/>
      <c r="S45" s="54"/>
    </row>
    <row r="46" spans="1:19" ht="15" customHeight="1" x14ac:dyDescent="0.3">
      <c r="A46" s="19">
        <v>44</v>
      </c>
      <c r="B46" s="19">
        <v>48</v>
      </c>
      <c r="C46" s="9" t="s">
        <v>227</v>
      </c>
      <c r="D46" s="9" t="s">
        <v>207</v>
      </c>
      <c r="E46" s="11">
        <v>4217772</v>
      </c>
      <c r="F46" s="61">
        <v>2.5000000000000001E-2</v>
      </c>
      <c r="G46" s="11">
        <v>11680000</v>
      </c>
      <c r="H46" s="19">
        <v>220</v>
      </c>
      <c r="I46" s="11">
        <v>20206524</v>
      </c>
      <c r="J46" s="61">
        <v>-0.11</v>
      </c>
      <c r="K46" s="54"/>
      <c r="L46" s="54"/>
      <c r="M46" s="54"/>
      <c r="N46" s="54"/>
      <c r="O46" s="54"/>
      <c r="P46" s="54"/>
      <c r="Q46" s="54"/>
      <c r="R46" s="54"/>
      <c r="S46" s="54"/>
    </row>
    <row r="47" spans="1:19" ht="15" customHeight="1" x14ac:dyDescent="0.3">
      <c r="A47" s="18">
        <v>45</v>
      </c>
      <c r="B47" s="18">
        <v>40</v>
      </c>
      <c r="C47" s="15" t="s">
        <v>228</v>
      </c>
      <c r="D47" s="15" t="s">
        <v>186</v>
      </c>
      <c r="E47" s="17">
        <v>4179418</v>
      </c>
      <c r="F47" s="59">
        <v>-0.05</v>
      </c>
      <c r="G47" s="17">
        <v>62691270</v>
      </c>
      <c r="H47" s="18">
        <v>115</v>
      </c>
      <c r="I47" s="17">
        <v>20714200</v>
      </c>
      <c r="J47" s="59">
        <v>-0.08</v>
      </c>
      <c r="K47" s="54"/>
      <c r="L47" s="54"/>
      <c r="M47" s="54"/>
      <c r="N47" s="54"/>
      <c r="O47" s="54"/>
      <c r="P47" s="54"/>
      <c r="Q47" s="54"/>
      <c r="R47" s="54"/>
      <c r="S47" s="54"/>
    </row>
    <row r="48" spans="1:19" ht="15" customHeight="1" x14ac:dyDescent="0.3">
      <c r="A48" s="19">
        <v>46</v>
      </c>
      <c r="B48" s="19">
        <v>60</v>
      </c>
      <c r="C48" s="9" t="s">
        <v>229</v>
      </c>
      <c r="D48" s="9" t="s">
        <v>186</v>
      </c>
      <c r="E48" s="11">
        <v>4173291</v>
      </c>
      <c r="F48" s="61">
        <v>0.17100000000000001</v>
      </c>
      <c r="G48" s="11">
        <v>62599372</v>
      </c>
      <c r="H48" s="19">
        <v>116</v>
      </c>
      <c r="I48" s="11">
        <v>21026460</v>
      </c>
      <c r="J48" s="61">
        <v>-0.1</v>
      </c>
      <c r="K48" s="54"/>
      <c r="L48" s="54"/>
      <c r="M48" s="54"/>
      <c r="N48" s="54"/>
      <c r="O48" s="54"/>
      <c r="P48" s="54"/>
      <c r="Q48" s="54"/>
      <c r="R48" s="54"/>
      <c r="S48" s="54"/>
    </row>
    <row r="49" spans="1:19" ht="15" customHeight="1" x14ac:dyDescent="0.3">
      <c r="A49" s="18">
        <v>47</v>
      </c>
      <c r="B49" s="18">
        <v>56</v>
      </c>
      <c r="C49" s="15" t="s">
        <v>230</v>
      </c>
      <c r="D49" s="15" t="s">
        <v>188</v>
      </c>
      <c r="E49" s="17">
        <v>4158080</v>
      </c>
      <c r="F49" s="59">
        <v>0.14199999999999999</v>
      </c>
      <c r="G49" s="17">
        <v>103952000</v>
      </c>
      <c r="H49" s="18">
        <v>45</v>
      </c>
      <c r="I49" s="17">
        <v>0</v>
      </c>
      <c r="J49" s="59">
        <v>0</v>
      </c>
      <c r="K49" s="54"/>
      <c r="L49" s="54"/>
      <c r="M49" s="54"/>
      <c r="N49" s="54"/>
      <c r="O49" s="54"/>
      <c r="P49" s="54"/>
      <c r="Q49" s="54"/>
      <c r="R49" s="54"/>
      <c r="S49" s="54"/>
    </row>
    <row r="50" spans="1:19" ht="15" customHeight="1" x14ac:dyDescent="0.3">
      <c r="A50" s="19">
        <v>48</v>
      </c>
      <c r="B50" s="19">
        <v>49</v>
      </c>
      <c r="C50" s="9" t="s">
        <v>231</v>
      </c>
      <c r="D50" s="9" t="s">
        <v>180</v>
      </c>
      <c r="E50" s="11">
        <v>4140362</v>
      </c>
      <c r="F50" s="61">
        <v>1.6E-2</v>
      </c>
      <c r="G50" s="11">
        <v>132491596</v>
      </c>
      <c r="H50" s="19">
        <v>17</v>
      </c>
      <c r="I50" s="11">
        <v>18435248</v>
      </c>
      <c r="J50" s="61">
        <v>0.72</v>
      </c>
      <c r="K50" s="54"/>
      <c r="L50" s="54"/>
      <c r="M50" s="54"/>
      <c r="N50" s="54"/>
      <c r="O50" s="54"/>
      <c r="P50" s="54"/>
      <c r="Q50" s="54"/>
      <c r="R50" s="54"/>
      <c r="S50" s="54"/>
    </row>
    <row r="51" spans="1:19" ht="15" customHeight="1" x14ac:dyDescent="0.3">
      <c r="A51" s="18">
        <v>49</v>
      </c>
      <c r="B51" s="18">
        <v>36</v>
      </c>
      <c r="C51" s="15" t="s">
        <v>232</v>
      </c>
      <c r="D51" s="15" t="s">
        <v>186</v>
      </c>
      <c r="E51" s="17">
        <v>4126684</v>
      </c>
      <c r="F51" s="59">
        <v>-8.3000000000000004E-2</v>
      </c>
      <c r="G51" s="17">
        <v>61900253</v>
      </c>
      <c r="H51" s="18">
        <v>122</v>
      </c>
      <c r="I51" s="17">
        <v>22668620</v>
      </c>
      <c r="J51" s="59">
        <v>-0.25</v>
      </c>
      <c r="K51" s="54"/>
      <c r="L51" s="54"/>
      <c r="M51" s="54"/>
      <c r="N51" s="54"/>
      <c r="O51" s="54"/>
      <c r="P51" s="54"/>
      <c r="Q51" s="54"/>
      <c r="R51" s="54"/>
      <c r="S51" s="54"/>
    </row>
    <row r="52" spans="1:19" ht="15" customHeight="1" x14ac:dyDescent="0.3">
      <c r="A52" s="19">
        <v>50</v>
      </c>
      <c r="B52" s="19">
        <v>81</v>
      </c>
      <c r="C52" s="9" t="s">
        <v>233</v>
      </c>
      <c r="D52" s="9" t="s">
        <v>186</v>
      </c>
      <c r="E52" s="11">
        <v>4125552</v>
      </c>
      <c r="F52" s="61">
        <v>0.50800000000000001</v>
      </c>
      <c r="G52" s="11">
        <v>61883276</v>
      </c>
      <c r="H52" s="19">
        <v>123</v>
      </c>
      <c r="I52" s="11">
        <v>19751680</v>
      </c>
      <c r="J52" s="61">
        <v>0</v>
      </c>
      <c r="K52" s="54"/>
      <c r="L52" s="54"/>
      <c r="M52" s="54"/>
      <c r="N52" s="54"/>
      <c r="O52" s="54"/>
      <c r="P52" s="54"/>
      <c r="Q52" s="54"/>
      <c r="R52" s="54"/>
      <c r="S52" s="54"/>
    </row>
    <row r="53" spans="1:19" ht="15" customHeight="1" x14ac:dyDescent="0.3">
      <c r="A53" s="18">
        <v>51</v>
      </c>
      <c r="B53" s="18">
        <v>61</v>
      </c>
      <c r="C53" s="15" t="s">
        <v>234</v>
      </c>
      <c r="D53" s="15" t="s">
        <v>188</v>
      </c>
      <c r="E53" s="17">
        <v>4074918</v>
      </c>
      <c r="F53" s="59">
        <v>0.15</v>
      </c>
      <c r="G53" s="17">
        <v>101872960</v>
      </c>
      <c r="H53" s="18">
        <v>52</v>
      </c>
      <c r="I53" s="17">
        <v>0</v>
      </c>
      <c r="J53" s="59">
        <v>0</v>
      </c>
      <c r="K53" s="54"/>
      <c r="L53" s="54"/>
      <c r="M53" s="54"/>
      <c r="N53" s="54"/>
      <c r="O53" s="54"/>
      <c r="P53" s="54"/>
      <c r="Q53" s="54"/>
      <c r="R53" s="54"/>
      <c r="S53" s="54"/>
    </row>
    <row r="54" spans="1:19" ht="15" customHeight="1" x14ac:dyDescent="0.3">
      <c r="A54" s="19">
        <v>52</v>
      </c>
      <c r="B54" s="19">
        <v>65</v>
      </c>
      <c r="C54" s="9" t="s">
        <v>235</v>
      </c>
      <c r="D54" s="9" t="s">
        <v>186</v>
      </c>
      <c r="E54" s="11">
        <v>4072630</v>
      </c>
      <c r="F54" s="61">
        <v>0.221</v>
      </c>
      <c r="G54" s="11">
        <v>61089456</v>
      </c>
      <c r="H54" s="19">
        <v>124</v>
      </c>
      <c r="I54" s="11">
        <v>19654596</v>
      </c>
      <c r="J54" s="61">
        <v>-0.25</v>
      </c>
      <c r="K54" s="54"/>
      <c r="L54" s="54"/>
      <c r="M54" s="54"/>
      <c r="N54" s="54"/>
      <c r="O54" s="54"/>
      <c r="P54" s="54"/>
      <c r="Q54" s="54"/>
      <c r="R54" s="54"/>
      <c r="S54" s="54"/>
    </row>
    <row r="55" spans="1:19" ht="15" customHeight="1" x14ac:dyDescent="0.3">
      <c r="A55" s="18">
        <v>53</v>
      </c>
      <c r="B55" s="18">
        <v>47</v>
      </c>
      <c r="C55" s="15" t="s">
        <v>236</v>
      </c>
      <c r="D55" s="15" t="s">
        <v>186</v>
      </c>
      <c r="E55" s="17">
        <v>4054756</v>
      </c>
      <c r="F55" s="59">
        <v>-1.9E-2</v>
      </c>
      <c r="G55" s="17">
        <v>60821336</v>
      </c>
      <c r="H55" s="18">
        <v>126</v>
      </c>
      <c r="I55" s="17">
        <v>19799676</v>
      </c>
      <c r="J55" s="59">
        <v>0.21</v>
      </c>
      <c r="K55" s="54"/>
      <c r="L55" s="54"/>
      <c r="M55" s="54"/>
      <c r="N55" s="54"/>
      <c r="O55" s="54"/>
      <c r="P55" s="54"/>
      <c r="Q55" s="54"/>
      <c r="R55" s="54"/>
      <c r="S55" s="54"/>
    </row>
    <row r="56" spans="1:19" ht="15" customHeight="1" x14ac:dyDescent="0.3">
      <c r="A56" s="19">
        <v>54</v>
      </c>
      <c r="B56" s="19">
        <v>51</v>
      </c>
      <c r="C56" s="9" t="s">
        <v>237</v>
      </c>
      <c r="D56" s="9" t="s">
        <v>178</v>
      </c>
      <c r="E56" s="11">
        <v>4037692</v>
      </c>
      <c r="F56" s="61">
        <v>-1E-3</v>
      </c>
      <c r="G56" s="11">
        <v>100942292</v>
      </c>
      <c r="H56" s="19">
        <v>53</v>
      </c>
      <c r="I56" s="11">
        <v>16327740</v>
      </c>
      <c r="J56" s="61">
        <v>0.95</v>
      </c>
      <c r="K56" s="54"/>
      <c r="L56" s="54"/>
      <c r="M56" s="54"/>
      <c r="N56" s="54"/>
      <c r="O56" s="54"/>
      <c r="P56" s="54"/>
      <c r="Q56" s="54"/>
      <c r="R56" s="54"/>
      <c r="S56" s="54"/>
    </row>
    <row r="57" spans="1:19" ht="15" customHeight="1" x14ac:dyDescent="0.3">
      <c r="A57" s="18">
        <v>55</v>
      </c>
      <c r="B57" s="18">
        <v>57</v>
      </c>
      <c r="C57" s="15" t="s">
        <v>238</v>
      </c>
      <c r="D57" s="15" t="s">
        <v>207</v>
      </c>
      <c r="E57" s="17">
        <v>3877656</v>
      </c>
      <c r="F57" s="59">
        <v>6.6000000000000003E-2</v>
      </c>
      <c r="G57" s="17">
        <v>9545000</v>
      </c>
      <c r="H57" s="18">
        <v>229</v>
      </c>
      <c r="I57" s="17">
        <v>0</v>
      </c>
      <c r="J57" s="59">
        <v>0</v>
      </c>
      <c r="K57" s="54"/>
      <c r="L57" s="54"/>
      <c r="M57" s="54"/>
      <c r="N57" s="54"/>
      <c r="O57" s="54"/>
      <c r="P57" s="54"/>
      <c r="Q57" s="54"/>
      <c r="R57" s="54"/>
      <c r="S57" s="54"/>
    </row>
    <row r="58" spans="1:19" ht="15" customHeight="1" x14ac:dyDescent="0.3">
      <c r="A58" s="19">
        <v>56</v>
      </c>
      <c r="B58" s="19">
        <v>53</v>
      </c>
      <c r="C58" s="9" t="s">
        <v>239</v>
      </c>
      <c r="D58" s="9" t="s">
        <v>180</v>
      </c>
      <c r="E58" s="11">
        <v>3857870</v>
      </c>
      <c r="F58" s="61">
        <v>-2.9000000000000001E-2</v>
      </c>
      <c r="G58" s="11">
        <v>108020360</v>
      </c>
      <c r="H58" s="19">
        <v>40</v>
      </c>
      <c r="I58" s="11">
        <v>20092228</v>
      </c>
      <c r="J58" s="61">
        <v>-0.13</v>
      </c>
      <c r="K58" s="54"/>
      <c r="L58" s="54"/>
      <c r="M58" s="54"/>
      <c r="N58" s="54"/>
      <c r="O58" s="54"/>
      <c r="P58" s="54"/>
      <c r="Q58" s="54"/>
      <c r="R58" s="54"/>
      <c r="S58" s="54"/>
    </row>
    <row r="59" spans="1:19" ht="15" customHeight="1" x14ac:dyDescent="0.3">
      <c r="A59" s="18">
        <v>57</v>
      </c>
      <c r="B59" s="18">
        <v>34</v>
      </c>
      <c r="C59" s="15" t="s">
        <v>240</v>
      </c>
      <c r="D59" s="15" t="s">
        <v>186</v>
      </c>
      <c r="E59" s="17">
        <v>3807731</v>
      </c>
      <c r="F59" s="59">
        <v>-0.17499999999999999</v>
      </c>
      <c r="G59" s="17">
        <v>57115966</v>
      </c>
      <c r="H59" s="18">
        <v>139</v>
      </c>
      <c r="I59" s="17">
        <v>22474920</v>
      </c>
      <c r="J59" s="59">
        <v>-0.16</v>
      </c>
      <c r="K59" s="54"/>
      <c r="L59" s="54"/>
      <c r="M59" s="54"/>
      <c r="N59" s="54"/>
      <c r="O59" s="54"/>
      <c r="P59" s="54"/>
      <c r="Q59" s="54"/>
      <c r="R59" s="54"/>
      <c r="S59" s="54"/>
    </row>
    <row r="60" spans="1:19" ht="15" customHeight="1" x14ac:dyDescent="0.3">
      <c r="A60" s="19">
        <v>58</v>
      </c>
      <c r="B60" s="19">
        <v>79</v>
      </c>
      <c r="C60" s="9" t="s">
        <v>241</v>
      </c>
      <c r="D60" s="9" t="s">
        <v>180</v>
      </c>
      <c r="E60" s="11">
        <v>3804605</v>
      </c>
      <c r="F60" s="61">
        <v>0.376</v>
      </c>
      <c r="G60" s="11">
        <v>102724338</v>
      </c>
      <c r="H60" s="19">
        <v>48</v>
      </c>
      <c r="I60" s="11">
        <v>16113760</v>
      </c>
      <c r="J60" s="61">
        <v>0.3</v>
      </c>
      <c r="K60" s="54"/>
      <c r="L60" s="54"/>
      <c r="M60" s="54"/>
      <c r="N60" s="54"/>
      <c r="O60" s="54"/>
      <c r="P60" s="54"/>
      <c r="Q60" s="54"/>
      <c r="R60" s="54"/>
      <c r="S60" s="54"/>
    </row>
    <row r="61" spans="1:19" ht="15" customHeight="1" x14ac:dyDescent="0.3">
      <c r="A61" s="18">
        <v>59</v>
      </c>
      <c r="B61" s="18">
        <v>44</v>
      </c>
      <c r="C61" s="15" t="s">
        <v>242</v>
      </c>
      <c r="D61" s="15" t="s">
        <v>186</v>
      </c>
      <c r="E61" s="17">
        <v>3788245</v>
      </c>
      <c r="F61" s="59">
        <v>-9.1999999999999998E-2</v>
      </c>
      <c r="G61" s="17">
        <v>56823668</v>
      </c>
      <c r="H61" s="18">
        <v>140</v>
      </c>
      <c r="I61" s="17">
        <v>20483424</v>
      </c>
      <c r="J61" s="59">
        <v>-0.03</v>
      </c>
      <c r="K61" s="54"/>
      <c r="L61" s="54"/>
      <c r="M61" s="54"/>
      <c r="N61" s="54"/>
      <c r="O61" s="54"/>
      <c r="P61" s="54"/>
      <c r="Q61" s="54"/>
      <c r="R61" s="54"/>
      <c r="S61" s="54"/>
    </row>
    <row r="62" spans="1:19" ht="15" customHeight="1" x14ac:dyDescent="0.3">
      <c r="A62" s="19">
        <v>60</v>
      </c>
      <c r="B62" s="19">
        <v>37</v>
      </c>
      <c r="C62" s="9" t="s">
        <v>243</v>
      </c>
      <c r="D62" s="9" t="s">
        <v>186</v>
      </c>
      <c r="E62" s="11">
        <v>3772348</v>
      </c>
      <c r="F62" s="61">
        <v>-0.153</v>
      </c>
      <c r="G62" s="11">
        <v>56585215</v>
      </c>
      <c r="H62" s="19">
        <v>141</v>
      </c>
      <c r="I62" s="11">
        <v>22630712</v>
      </c>
      <c r="J62" s="61">
        <v>-0.15</v>
      </c>
      <c r="K62" s="54"/>
      <c r="L62" s="54"/>
      <c r="M62" s="54"/>
      <c r="N62" s="54"/>
      <c r="O62" s="54"/>
      <c r="P62" s="54"/>
      <c r="Q62" s="54"/>
      <c r="R62" s="54"/>
      <c r="S62" s="54"/>
    </row>
    <row r="63" spans="1:19" ht="15" customHeight="1" x14ac:dyDescent="0.3">
      <c r="A63" s="18">
        <v>61</v>
      </c>
      <c r="B63" s="18">
        <v>71</v>
      </c>
      <c r="C63" s="15" t="s">
        <v>244</v>
      </c>
      <c r="D63" s="15" t="s">
        <v>180</v>
      </c>
      <c r="E63" s="17">
        <v>3726628</v>
      </c>
      <c r="F63" s="59">
        <v>0.255</v>
      </c>
      <c r="G63" s="17">
        <v>111798833</v>
      </c>
      <c r="H63" s="18">
        <v>33</v>
      </c>
      <c r="I63" s="17">
        <v>13505232</v>
      </c>
      <c r="J63" s="59">
        <v>0.72</v>
      </c>
      <c r="K63" s="54"/>
      <c r="L63" s="54"/>
      <c r="M63" s="54"/>
      <c r="N63" s="54"/>
      <c r="O63" s="54"/>
      <c r="P63" s="54"/>
      <c r="Q63" s="54"/>
      <c r="R63" s="54"/>
      <c r="S63" s="54"/>
    </row>
    <row r="64" spans="1:19" ht="15" customHeight="1" x14ac:dyDescent="0.3">
      <c r="A64" s="19">
        <v>62</v>
      </c>
      <c r="B64" s="19">
        <v>78</v>
      </c>
      <c r="C64" s="9" t="s">
        <v>245</v>
      </c>
      <c r="D64" s="9" t="s">
        <v>180</v>
      </c>
      <c r="E64" s="11">
        <v>3688114</v>
      </c>
      <c r="F64" s="61">
        <v>0.33300000000000002</v>
      </c>
      <c r="G64" s="11">
        <v>99579071</v>
      </c>
      <c r="H64" s="19">
        <v>54</v>
      </c>
      <c r="I64" s="11">
        <v>15463448</v>
      </c>
      <c r="J64" s="61">
        <v>0.26</v>
      </c>
      <c r="K64" s="54"/>
      <c r="L64" s="54"/>
      <c r="M64" s="54"/>
      <c r="N64" s="54"/>
      <c r="O64" s="54"/>
      <c r="P64" s="54"/>
      <c r="Q64" s="54"/>
      <c r="R64" s="54"/>
      <c r="S64" s="54"/>
    </row>
    <row r="65" spans="1:19" ht="15" customHeight="1" x14ac:dyDescent="0.3">
      <c r="A65" s="18">
        <v>63</v>
      </c>
      <c r="B65" s="18">
        <v>52</v>
      </c>
      <c r="C65" s="15" t="s">
        <v>246</v>
      </c>
      <c r="D65" s="15" t="s">
        <v>186</v>
      </c>
      <c r="E65" s="17">
        <v>3525842</v>
      </c>
      <c r="F65" s="59">
        <v>-0.11600000000000001</v>
      </c>
      <c r="G65" s="17">
        <v>52887627</v>
      </c>
      <c r="H65" s="18">
        <v>149</v>
      </c>
      <c r="I65" s="17">
        <v>23079108</v>
      </c>
      <c r="J65" s="59">
        <v>-0.24</v>
      </c>
      <c r="K65" s="54"/>
      <c r="L65" s="54"/>
      <c r="M65" s="54"/>
      <c r="N65" s="54"/>
      <c r="O65" s="54"/>
      <c r="P65" s="54"/>
      <c r="Q65" s="54"/>
      <c r="R65" s="54"/>
      <c r="S65" s="54"/>
    </row>
    <row r="66" spans="1:19" ht="15" customHeight="1" x14ac:dyDescent="0.3">
      <c r="A66" s="19">
        <v>64</v>
      </c>
      <c r="B66" s="19">
        <v>62</v>
      </c>
      <c r="C66" s="9" t="s">
        <v>247</v>
      </c>
      <c r="D66" s="9" t="s">
        <v>186</v>
      </c>
      <c r="E66" s="11">
        <v>3435551</v>
      </c>
      <c r="F66" s="61">
        <v>1.4999999999999999E-2</v>
      </c>
      <c r="G66" s="11">
        <v>48097710</v>
      </c>
      <c r="H66" s="19">
        <v>157</v>
      </c>
      <c r="I66" s="11">
        <v>20251556</v>
      </c>
      <c r="J66" s="61">
        <v>-0.32</v>
      </c>
      <c r="K66" s="54"/>
      <c r="L66" s="54"/>
      <c r="M66" s="54"/>
      <c r="N66" s="54"/>
      <c r="O66" s="54"/>
      <c r="P66" s="54"/>
      <c r="Q66" s="54"/>
      <c r="R66" s="54"/>
      <c r="S66" s="54"/>
    </row>
    <row r="67" spans="1:19" ht="15" customHeight="1" x14ac:dyDescent="0.3">
      <c r="A67" s="18">
        <v>65</v>
      </c>
      <c r="B67" s="18">
        <v>46</v>
      </c>
      <c r="C67" s="15" t="s">
        <v>248</v>
      </c>
      <c r="D67" s="15" t="s">
        <v>180</v>
      </c>
      <c r="E67" s="17">
        <v>3405417</v>
      </c>
      <c r="F67" s="59">
        <v>-0.17599999999999999</v>
      </c>
      <c r="G67" s="17">
        <v>112378771</v>
      </c>
      <c r="H67" s="18">
        <v>32</v>
      </c>
      <c r="I67" s="17">
        <v>15160184</v>
      </c>
      <c r="J67" s="59">
        <v>0.57999999999999996</v>
      </c>
      <c r="K67" s="54"/>
      <c r="L67" s="54"/>
      <c r="M67" s="54"/>
      <c r="N67" s="54"/>
      <c r="O67" s="54"/>
      <c r="P67" s="54"/>
      <c r="Q67" s="54"/>
      <c r="R67" s="54"/>
      <c r="S67" s="54"/>
    </row>
    <row r="68" spans="1:19" ht="15" customHeight="1" x14ac:dyDescent="0.3">
      <c r="A68" s="19">
        <v>66</v>
      </c>
      <c r="B68" s="19">
        <v>82</v>
      </c>
      <c r="C68" s="9" t="s">
        <v>249</v>
      </c>
      <c r="D68" s="9" t="s">
        <v>180</v>
      </c>
      <c r="E68" s="11">
        <v>3396500</v>
      </c>
      <c r="F68" s="61">
        <v>0.255</v>
      </c>
      <c r="G68" s="11">
        <v>84912500</v>
      </c>
      <c r="H68" s="19">
        <v>69</v>
      </c>
      <c r="I68" s="11">
        <v>16762720</v>
      </c>
      <c r="J68" s="61">
        <v>0.27</v>
      </c>
      <c r="K68" s="54"/>
      <c r="L68" s="54"/>
      <c r="M68" s="54"/>
      <c r="N68" s="54"/>
      <c r="O68" s="54"/>
      <c r="P68" s="54"/>
      <c r="Q68" s="54"/>
      <c r="R68" s="54"/>
      <c r="S68" s="54"/>
    </row>
    <row r="69" spans="1:19" ht="15" customHeight="1" x14ac:dyDescent="0.3">
      <c r="A69" s="18">
        <v>67</v>
      </c>
      <c r="B69" s="18">
        <v>67</v>
      </c>
      <c r="C69" s="15" t="s">
        <v>250</v>
      </c>
      <c r="D69" s="15" t="s">
        <v>180</v>
      </c>
      <c r="E69" s="17">
        <v>3389810</v>
      </c>
      <c r="F69" s="59">
        <v>0.08</v>
      </c>
      <c r="G69" s="17">
        <v>105084121</v>
      </c>
      <c r="H69" s="18">
        <v>44</v>
      </c>
      <c r="I69" s="17">
        <v>14300520</v>
      </c>
      <c r="J69" s="59">
        <v>1.01E-2</v>
      </c>
      <c r="K69" s="54"/>
      <c r="L69" s="54"/>
      <c r="M69" s="54"/>
      <c r="N69" s="54"/>
      <c r="O69" s="54"/>
      <c r="P69" s="54"/>
      <c r="Q69" s="54"/>
      <c r="R69" s="54"/>
      <c r="S69" s="54"/>
    </row>
    <row r="70" spans="1:19" ht="15" customHeight="1" x14ac:dyDescent="0.3">
      <c r="A70" s="19">
        <v>68</v>
      </c>
      <c r="B70" s="19">
        <v>69</v>
      </c>
      <c r="C70" s="9" t="s">
        <v>251</v>
      </c>
      <c r="D70" s="9" t="s">
        <v>180</v>
      </c>
      <c r="E70" s="11">
        <v>3351167</v>
      </c>
      <c r="F70" s="61">
        <v>0.11</v>
      </c>
      <c r="G70" s="11">
        <v>90481500</v>
      </c>
      <c r="H70" s="19">
        <v>62</v>
      </c>
      <c r="I70" s="11">
        <v>12359256</v>
      </c>
      <c r="J70" s="61">
        <v>0.28000000000000003</v>
      </c>
      <c r="K70" s="54"/>
      <c r="L70" s="54"/>
      <c r="M70" s="54"/>
      <c r="N70" s="54"/>
      <c r="O70" s="54"/>
      <c r="P70" s="54"/>
      <c r="Q70" s="54"/>
      <c r="R70" s="54"/>
      <c r="S70" s="54"/>
    </row>
    <row r="71" spans="1:19" ht="15" customHeight="1" x14ac:dyDescent="0.3">
      <c r="A71" s="18">
        <v>69</v>
      </c>
      <c r="B71" s="18">
        <v>39</v>
      </c>
      <c r="C71" s="15" t="s">
        <v>252</v>
      </c>
      <c r="D71" s="15" t="s">
        <v>180</v>
      </c>
      <c r="E71" s="17">
        <v>3316740</v>
      </c>
      <c r="F71" s="59">
        <v>-0.248</v>
      </c>
      <c r="G71" s="17">
        <v>89551982</v>
      </c>
      <c r="H71" s="18">
        <v>65</v>
      </c>
      <c r="I71" s="17">
        <v>19794944</v>
      </c>
      <c r="J71" s="59">
        <v>-0.04</v>
      </c>
      <c r="K71" s="54"/>
      <c r="L71" s="54"/>
      <c r="M71" s="54"/>
      <c r="N71" s="54"/>
      <c r="O71" s="54"/>
      <c r="P71" s="54"/>
      <c r="Q71" s="54"/>
      <c r="R71" s="54"/>
      <c r="S71" s="54"/>
    </row>
    <row r="72" spans="1:19" ht="15" customHeight="1" x14ac:dyDescent="0.3">
      <c r="A72" s="19">
        <v>70</v>
      </c>
      <c r="B72" s="19">
        <v>91</v>
      </c>
      <c r="C72" s="9" t="s">
        <v>253</v>
      </c>
      <c r="D72" s="9" t="s">
        <v>178</v>
      </c>
      <c r="E72" s="11">
        <v>3255259</v>
      </c>
      <c r="F72" s="61">
        <v>0.25</v>
      </c>
      <c r="G72" s="11">
        <v>81381487</v>
      </c>
      <c r="H72" s="19">
        <v>75</v>
      </c>
      <c r="I72" s="11">
        <v>0</v>
      </c>
      <c r="J72" s="61">
        <v>0</v>
      </c>
      <c r="K72" s="54"/>
      <c r="L72" s="54"/>
      <c r="M72" s="54"/>
      <c r="N72" s="54"/>
      <c r="O72" s="54"/>
      <c r="P72" s="54"/>
      <c r="Q72" s="54"/>
      <c r="R72" s="54"/>
      <c r="S72" s="54"/>
    </row>
    <row r="73" spans="1:19" ht="15" customHeight="1" x14ac:dyDescent="0.3">
      <c r="A73" s="18">
        <v>71</v>
      </c>
      <c r="B73" s="18">
        <v>68</v>
      </c>
      <c r="C73" s="15" t="s">
        <v>254</v>
      </c>
      <c r="D73" s="15" t="s">
        <v>180</v>
      </c>
      <c r="E73" s="17">
        <v>3156635</v>
      </c>
      <c r="F73" s="59">
        <v>0.02</v>
      </c>
      <c r="G73" s="17">
        <v>97855673</v>
      </c>
      <c r="H73" s="18">
        <v>56</v>
      </c>
      <c r="I73" s="17">
        <v>16055936</v>
      </c>
      <c r="J73" s="59">
        <v>-0.14000000000000001</v>
      </c>
      <c r="K73" s="54"/>
      <c r="L73" s="54"/>
      <c r="M73" s="54"/>
      <c r="N73" s="54"/>
      <c r="O73" s="54"/>
      <c r="P73" s="54"/>
      <c r="Q73" s="54"/>
      <c r="R73" s="54"/>
      <c r="S73" s="54"/>
    </row>
    <row r="74" spans="1:19" ht="15" customHeight="1" x14ac:dyDescent="0.3">
      <c r="A74" s="19">
        <v>72</v>
      </c>
      <c r="B74" s="19">
        <v>95</v>
      </c>
      <c r="C74" s="9" t="s">
        <v>255</v>
      </c>
      <c r="D74" s="9" t="s">
        <v>180</v>
      </c>
      <c r="E74" s="11">
        <v>3121519</v>
      </c>
      <c r="F74" s="61">
        <v>0.23300000000000001</v>
      </c>
      <c r="G74" s="11">
        <v>84281011</v>
      </c>
      <c r="H74" s="19">
        <v>70</v>
      </c>
      <c r="I74" s="11">
        <v>17276324</v>
      </c>
      <c r="J74" s="61">
        <v>-0.17</v>
      </c>
      <c r="K74" s="54"/>
      <c r="L74" s="54"/>
      <c r="M74" s="54"/>
      <c r="N74" s="54"/>
      <c r="O74" s="54"/>
      <c r="P74" s="54"/>
      <c r="Q74" s="54"/>
      <c r="R74" s="54"/>
      <c r="S74" s="54"/>
    </row>
    <row r="75" spans="1:19" ht="15" customHeight="1" x14ac:dyDescent="0.3">
      <c r="A75" s="18">
        <v>73</v>
      </c>
      <c r="B75" s="18">
        <v>77</v>
      </c>
      <c r="C75" s="15" t="s">
        <v>256</v>
      </c>
      <c r="D75" s="15" t="s">
        <v>180</v>
      </c>
      <c r="E75" s="17">
        <v>3087574</v>
      </c>
      <c r="F75" s="59">
        <v>0.114</v>
      </c>
      <c r="G75" s="17">
        <v>89539642</v>
      </c>
      <c r="H75" s="18">
        <v>66</v>
      </c>
      <c r="I75" s="17">
        <v>15047656</v>
      </c>
      <c r="J75" s="59">
        <v>-0.09</v>
      </c>
      <c r="K75" s="54"/>
      <c r="L75" s="54"/>
      <c r="M75" s="54"/>
      <c r="N75" s="54"/>
      <c r="O75" s="54"/>
      <c r="P75" s="54"/>
      <c r="Q75" s="54"/>
      <c r="R75" s="54"/>
      <c r="S75" s="54"/>
    </row>
    <row r="76" spans="1:19" ht="15" customHeight="1" x14ac:dyDescent="0.3">
      <c r="A76" s="19">
        <v>74</v>
      </c>
      <c r="B76" s="19">
        <v>92</v>
      </c>
      <c r="C76" s="9" t="s">
        <v>257</v>
      </c>
      <c r="D76" s="9" t="s">
        <v>180</v>
      </c>
      <c r="E76" s="11">
        <v>3055585</v>
      </c>
      <c r="F76" s="61">
        <v>0.17899999999999999</v>
      </c>
      <c r="G76" s="11">
        <v>82500800</v>
      </c>
      <c r="H76" s="19">
        <v>73</v>
      </c>
      <c r="I76" s="11">
        <v>11999520</v>
      </c>
      <c r="J76" s="61">
        <v>0.52</v>
      </c>
      <c r="K76" s="54"/>
      <c r="L76" s="54"/>
      <c r="M76" s="54"/>
      <c r="N76" s="54"/>
      <c r="O76" s="54"/>
      <c r="P76" s="54"/>
      <c r="Q76" s="54"/>
      <c r="R76" s="54"/>
      <c r="S76" s="54"/>
    </row>
    <row r="77" spans="1:19" ht="15" customHeight="1" x14ac:dyDescent="0.3">
      <c r="A77" s="18">
        <v>75</v>
      </c>
      <c r="B77" s="18">
        <v>64</v>
      </c>
      <c r="C77" s="15" t="s">
        <v>258</v>
      </c>
      <c r="D77" s="15" t="s">
        <v>178</v>
      </c>
      <c r="E77" s="17">
        <v>3044799</v>
      </c>
      <c r="F77" s="59">
        <v>-8.7999999999999995E-2</v>
      </c>
      <c r="G77" s="17">
        <v>76119969</v>
      </c>
      <c r="H77" s="18">
        <v>81</v>
      </c>
      <c r="I77" s="17">
        <v>17219644</v>
      </c>
      <c r="J77" s="59">
        <v>0.04</v>
      </c>
      <c r="K77" s="54"/>
      <c r="L77" s="54"/>
      <c r="M77" s="54"/>
      <c r="N77" s="54"/>
      <c r="O77" s="54"/>
      <c r="P77" s="54"/>
      <c r="Q77" s="54"/>
      <c r="R77" s="54"/>
      <c r="S77" s="54"/>
    </row>
    <row r="78" spans="1:19" ht="15" customHeight="1" x14ac:dyDescent="0.3">
      <c r="A78" s="19">
        <v>76</v>
      </c>
      <c r="B78" s="19">
        <v>83</v>
      </c>
      <c r="C78" s="9" t="s">
        <v>259</v>
      </c>
      <c r="D78" s="9" t="s">
        <v>260</v>
      </c>
      <c r="E78" s="11">
        <v>2998854</v>
      </c>
      <c r="F78" s="61">
        <v>0.11</v>
      </c>
      <c r="G78" s="11">
        <v>71972500</v>
      </c>
      <c r="H78" s="19">
        <v>85</v>
      </c>
      <c r="I78" s="11">
        <v>13872716</v>
      </c>
      <c r="J78" s="61">
        <v>0.23</v>
      </c>
      <c r="K78" s="54"/>
      <c r="L78" s="54"/>
      <c r="M78" s="54"/>
      <c r="N78" s="54"/>
      <c r="O78" s="54"/>
      <c r="P78" s="54"/>
      <c r="Q78" s="54"/>
      <c r="R78" s="54"/>
      <c r="S78" s="54"/>
    </row>
    <row r="79" spans="1:19" ht="15" customHeight="1" x14ac:dyDescent="0.3">
      <c r="A79" s="18">
        <v>77</v>
      </c>
      <c r="B79" s="18">
        <v>129</v>
      </c>
      <c r="C79" s="15" t="s">
        <v>261</v>
      </c>
      <c r="D79" s="15" t="s">
        <v>180</v>
      </c>
      <c r="E79" s="17">
        <v>2899410</v>
      </c>
      <c r="F79" s="59">
        <v>0.33900000000000002</v>
      </c>
      <c r="G79" s="17">
        <v>89881695</v>
      </c>
      <c r="H79" s="18">
        <v>63</v>
      </c>
      <c r="I79" s="17">
        <v>9477156</v>
      </c>
      <c r="J79" s="59">
        <v>2.0199999999999999E-2</v>
      </c>
      <c r="K79" s="54"/>
      <c r="L79" s="54"/>
      <c r="M79" s="54"/>
      <c r="N79" s="54"/>
      <c r="O79" s="54"/>
      <c r="P79" s="54"/>
      <c r="Q79" s="54"/>
      <c r="R79" s="54"/>
      <c r="S79" s="54"/>
    </row>
    <row r="80" spans="1:19" ht="15" customHeight="1" x14ac:dyDescent="0.3">
      <c r="A80" s="19">
        <v>78</v>
      </c>
      <c r="B80" s="19">
        <v>86</v>
      </c>
      <c r="C80" s="9" t="s">
        <v>262</v>
      </c>
      <c r="D80" s="9" t="s">
        <v>180</v>
      </c>
      <c r="E80" s="11">
        <v>2883185</v>
      </c>
      <c r="F80" s="61">
        <v>8.6999999999999994E-2</v>
      </c>
      <c r="G80" s="11">
        <v>77845999</v>
      </c>
      <c r="H80" s="19">
        <v>77</v>
      </c>
      <c r="I80" s="11">
        <v>10065900</v>
      </c>
      <c r="J80" s="61">
        <v>2.6499999999999999E-2</v>
      </c>
      <c r="K80" s="54"/>
      <c r="L80" s="54"/>
      <c r="M80" s="54"/>
      <c r="N80" s="54"/>
      <c r="O80" s="54"/>
      <c r="P80" s="54"/>
      <c r="Q80" s="54"/>
      <c r="R80" s="54"/>
      <c r="S80" s="54"/>
    </row>
    <row r="81" spans="1:19" ht="15" customHeight="1" x14ac:dyDescent="0.3">
      <c r="A81" s="18">
        <v>79</v>
      </c>
      <c r="B81" s="18">
        <v>100</v>
      </c>
      <c r="C81" s="15" t="s">
        <v>263</v>
      </c>
      <c r="D81" s="15" t="s">
        <v>260</v>
      </c>
      <c r="E81" s="17">
        <v>2864519</v>
      </c>
      <c r="F81" s="59">
        <v>0.16300000000000001</v>
      </c>
      <c r="G81" s="17">
        <v>74477500</v>
      </c>
      <c r="H81" s="18">
        <v>83</v>
      </c>
      <c r="I81" s="17">
        <v>13069212</v>
      </c>
      <c r="J81" s="59">
        <v>0.13</v>
      </c>
      <c r="K81" s="54"/>
      <c r="L81" s="54"/>
      <c r="M81" s="54"/>
      <c r="N81" s="54"/>
      <c r="O81" s="54"/>
      <c r="P81" s="54"/>
      <c r="Q81" s="54"/>
      <c r="R81" s="54"/>
      <c r="S81" s="54"/>
    </row>
    <row r="82" spans="1:19" ht="15" customHeight="1" x14ac:dyDescent="0.3">
      <c r="A82" s="19">
        <v>80</v>
      </c>
      <c r="B82" s="19">
        <v>27</v>
      </c>
      <c r="C82" s="9" t="s">
        <v>264</v>
      </c>
      <c r="D82" s="9" t="s">
        <v>186</v>
      </c>
      <c r="E82" s="11">
        <v>2862461</v>
      </c>
      <c r="F82" s="61">
        <v>-0.41599999999999998</v>
      </c>
      <c r="G82" s="11">
        <v>42936909</v>
      </c>
      <c r="H82" s="19">
        <v>167</v>
      </c>
      <c r="I82" s="11">
        <v>22120280</v>
      </c>
      <c r="J82" s="61">
        <v>-0.38</v>
      </c>
      <c r="K82" s="54"/>
      <c r="L82" s="54"/>
      <c r="M82" s="54"/>
      <c r="N82" s="54"/>
      <c r="O82" s="54"/>
      <c r="P82" s="54"/>
      <c r="Q82" s="54"/>
      <c r="R82" s="54"/>
      <c r="S82" s="54"/>
    </row>
    <row r="83" spans="1:19" ht="15" customHeight="1" x14ac:dyDescent="0.3">
      <c r="A83" s="18">
        <v>81</v>
      </c>
      <c r="B83" s="18">
        <v>96</v>
      </c>
      <c r="C83" s="15" t="s">
        <v>265</v>
      </c>
      <c r="D83" s="15" t="s">
        <v>260</v>
      </c>
      <c r="E83" s="17">
        <v>2860000</v>
      </c>
      <c r="F83" s="59">
        <v>0.13900000000000001</v>
      </c>
      <c r="G83" s="17">
        <v>68640000</v>
      </c>
      <c r="H83" s="18">
        <v>91</v>
      </c>
      <c r="I83" s="17">
        <v>12023648</v>
      </c>
      <c r="J83" s="59">
        <v>0.42</v>
      </c>
      <c r="K83" s="54"/>
      <c r="L83" s="54"/>
      <c r="M83" s="54"/>
      <c r="N83" s="54"/>
      <c r="O83" s="54"/>
      <c r="P83" s="54"/>
      <c r="Q83" s="54"/>
      <c r="R83" s="54"/>
      <c r="S83" s="54"/>
    </row>
    <row r="84" spans="1:19" ht="15" customHeight="1" x14ac:dyDescent="0.3">
      <c r="A84" s="19">
        <v>82</v>
      </c>
      <c r="B84" s="19">
        <v>76</v>
      </c>
      <c r="C84" s="9" t="s">
        <v>266</v>
      </c>
      <c r="D84" s="9" t="s">
        <v>260</v>
      </c>
      <c r="E84" s="11">
        <v>2838043</v>
      </c>
      <c r="F84" s="61">
        <v>0.02</v>
      </c>
      <c r="G84" s="11">
        <v>65275000</v>
      </c>
      <c r="H84" s="19">
        <v>105</v>
      </c>
      <c r="I84" s="11">
        <v>12431432</v>
      </c>
      <c r="J84" s="61">
        <v>0.22</v>
      </c>
      <c r="K84" s="54"/>
      <c r="L84" s="54"/>
      <c r="M84" s="54"/>
      <c r="N84" s="54"/>
      <c r="O84" s="54"/>
      <c r="P84" s="54"/>
      <c r="Q84" s="54"/>
      <c r="R84" s="54"/>
      <c r="S84" s="54"/>
    </row>
    <row r="85" spans="1:19" ht="15" customHeight="1" x14ac:dyDescent="0.3">
      <c r="A85" s="18">
        <v>83</v>
      </c>
      <c r="B85" s="18">
        <v>133</v>
      </c>
      <c r="C85" s="15" t="s">
        <v>267</v>
      </c>
      <c r="D85" s="15" t="s">
        <v>180</v>
      </c>
      <c r="E85" s="17">
        <v>2828810</v>
      </c>
      <c r="F85" s="59">
        <v>0.31900000000000001</v>
      </c>
      <c r="G85" s="17">
        <v>82035490</v>
      </c>
      <c r="H85" s="18">
        <v>74</v>
      </c>
      <c r="I85" s="17">
        <v>11141312</v>
      </c>
      <c r="J85" s="59">
        <v>0.23</v>
      </c>
      <c r="K85" s="54"/>
      <c r="L85" s="54"/>
      <c r="M85" s="54"/>
      <c r="N85" s="54"/>
      <c r="O85" s="54"/>
      <c r="P85" s="54"/>
      <c r="Q85" s="54"/>
      <c r="R85" s="54"/>
      <c r="S85" s="54"/>
    </row>
    <row r="86" spans="1:19" ht="15" customHeight="1" x14ac:dyDescent="0.3">
      <c r="A86" s="19">
        <v>84</v>
      </c>
      <c r="B86" s="19">
        <v>121</v>
      </c>
      <c r="C86" s="9" t="s">
        <v>268</v>
      </c>
      <c r="D86" s="9" t="s">
        <v>260</v>
      </c>
      <c r="E86" s="11">
        <v>2705217</v>
      </c>
      <c r="F86" s="61">
        <v>0.223</v>
      </c>
      <c r="G86" s="11">
        <v>62220000</v>
      </c>
      <c r="H86" s="19">
        <v>118</v>
      </c>
      <c r="I86" s="11">
        <v>10736180</v>
      </c>
      <c r="J86" s="61">
        <v>0.41</v>
      </c>
      <c r="K86" s="54"/>
      <c r="L86" s="54"/>
      <c r="M86" s="54"/>
      <c r="N86" s="54"/>
      <c r="O86" s="54"/>
      <c r="P86" s="54"/>
      <c r="Q86" s="54"/>
      <c r="R86" s="54"/>
      <c r="S86" s="54"/>
    </row>
    <row r="87" spans="1:19" ht="15" customHeight="1" x14ac:dyDescent="0.3">
      <c r="A87" s="18">
        <v>85</v>
      </c>
      <c r="B87" s="18">
        <v>84</v>
      </c>
      <c r="C87" s="15" t="s">
        <v>269</v>
      </c>
      <c r="D87" s="15" t="s">
        <v>260</v>
      </c>
      <c r="E87" s="17">
        <v>2699960</v>
      </c>
      <c r="F87" s="59">
        <v>2E-3</v>
      </c>
      <c r="G87" s="17">
        <v>67499000</v>
      </c>
      <c r="H87" s="18">
        <v>95</v>
      </c>
      <c r="I87" s="17">
        <v>12965368</v>
      </c>
      <c r="J87" s="59">
        <v>0.18</v>
      </c>
      <c r="K87" s="54"/>
      <c r="L87" s="54"/>
      <c r="M87" s="54"/>
      <c r="N87" s="54"/>
      <c r="O87" s="54"/>
      <c r="P87" s="54"/>
      <c r="Q87" s="54"/>
      <c r="R87" s="54"/>
      <c r="S87" s="54"/>
    </row>
    <row r="88" spans="1:19" ht="15" customHeight="1" x14ac:dyDescent="0.3">
      <c r="A88" s="19">
        <v>86</v>
      </c>
      <c r="B88" s="19">
        <v>104</v>
      </c>
      <c r="C88" s="9" t="s">
        <v>270</v>
      </c>
      <c r="D88" s="9" t="s">
        <v>178</v>
      </c>
      <c r="E88" s="11">
        <v>2678222</v>
      </c>
      <c r="F88" s="61">
        <v>0.10299999999999999</v>
      </c>
      <c r="G88" s="11">
        <v>66955551</v>
      </c>
      <c r="H88" s="19">
        <v>99</v>
      </c>
      <c r="I88" s="11">
        <v>10967944</v>
      </c>
      <c r="J88" s="61">
        <v>0.91</v>
      </c>
      <c r="K88" s="54"/>
      <c r="L88" s="54"/>
      <c r="M88" s="54"/>
      <c r="N88" s="54"/>
      <c r="O88" s="54"/>
      <c r="P88" s="54"/>
      <c r="Q88" s="54"/>
      <c r="R88" s="54"/>
      <c r="S88" s="54"/>
    </row>
    <row r="89" spans="1:19" ht="15" customHeight="1" x14ac:dyDescent="0.3">
      <c r="A89" s="18">
        <v>87</v>
      </c>
      <c r="B89" s="18">
        <v>85</v>
      </c>
      <c r="C89" s="15" t="s">
        <v>271</v>
      </c>
      <c r="D89" s="15" t="s">
        <v>260</v>
      </c>
      <c r="E89" s="17">
        <v>2675417</v>
      </c>
      <c r="F89" s="59">
        <v>7.0000000000000001E-3</v>
      </c>
      <c r="G89" s="17">
        <v>64210000</v>
      </c>
      <c r="H89" s="18">
        <v>108</v>
      </c>
      <c r="I89" s="17">
        <v>13233844</v>
      </c>
      <c r="J89" s="59">
        <v>-0.04</v>
      </c>
      <c r="K89" s="54"/>
      <c r="L89" s="54"/>
      <c r="M89" s="54"/>
      <c r="N89" s="54"/>
      <c r="O89" s="54"/>
      <c r="P89" s="54"/>
      <c r="Q89" s="54"/>
      <c r="R89" s="54"/>
      <c r="S89" s="54"/>
    </row>
    <row r="90" spans="1:19" ht="15" customHeight="1" x14ac:dyDescent="0.3">
      <c r="A90" s="19">
        <v>88</v>
      </c>
      <c r="B90" s="19">
        <v>75</v>
      </c>
      <c r="C90" s="9" t="s">
        <v>272</v>
      </c>
      <c r="D90" s="9" t="s">
        <v>178</v>
      </c>
      <c r="E90" s="11">
        <v>2664731</v>
      </c>
      <c r="F90" s="61">
        <v>-4.2999999999999997E-2</v>
      </c>
      <c r="G90" s="11">
        <v>66618266</v>
      </c>
      <c r="H90" s="19">
        <v>100</v>
      </c>
      <c r="I90" s="11">
        <v>14557140</v>
      </c>
      <c r="J90" s="61">
        <v>-0.24</v>
      </c>
      <c r="K90" s="54"/>
      <c r="L90" s="54"/>
      <c r="M90" s="54"/>
      <c r="N90" s="54"/>
      <c r="O90" s="54"/>
      <c r="P90" s="54"/>
      <c r="Q90" s="54"/>
      <c r="R90" s="54"/>
      <c r="S90" s="54"/>
    </row>
    <row r="91" spans="1:19" ht="15" customHeight="1" x14ac:dyDescent="0.3">
      <c r="A91" s="18">
        <v>89</v>
      </c>
      <c r="B91" s="18">
        <v>59</v>
      </c>
      <c r="C91" s="15" t="s">
        <v>273</v>
      </c>
      <c r="D91" s="15" t="s">
        <v>180</v>
      </c>
      <c r="E91" s="17">
        <v>2662370</v>
      </c>
      <c r="F91" s="59">
        <v>-0.26</v>
      </c>
      <c r="G91" s="17">
        <v>74546356</v>
      </c>
      <c r="H91" s="18">
        <v>82</v>
      </c>
      <c r="I91" s="17">
        <v>19283888</v>
      </c>
      <c r="J91" s="59">
        <v>-0.43</v>
      </c>
      <c r="K91" s="54"/>
      <c r="L91" s="54"/>
      <c r="M91" s="54"/>
      <c r="N91" s="54"/>
      <c r="O91" s="54"/>
      <c r="P91" s="54"/>
      <c r="Q91" s="54"/>
      <c r="R91" s="54"/>
      <c r="S91" s="54"/>
    </row>
    <row r="92" spans="1:19" ht="15" customHeight="1" x14ac:dyDescent="0.3">
      <c r="A92" s="19">
        <v>90</v>
      </c>
      <c r="B92" s="19">
        <v>155</v>
      </c>
      <c r="C92" s="9" t="s">
        <v>274</v>
      </c>
      <c r="D92" s="9" t="s">
        <v>200</v>
      </c>
      <c r="E92" s="11">
        <v>2658772</v>
      </c>
      <c r="F92" s="61">
        <v>0.35299999999999998</v>
      </c>
      <c r="G92" s="11">
        <v>69128080</v>
      </c>
      <c r="H92" s="19">
        <v>89</v>
      </c>
      <c r="I92" s="11">
        <v>8491704</v>
      </c>
      <c r="J92" s="61">
        <v>3.6299999999999999E-2</v>
      </c>
      <c r="K92" s="54"/>
      <c r="L92" s="54"/>
      <c r="M92" s="54"/>
      <c r="N92" s="54"/>
      <c r="O92" s="54"/>
      <c r="P92" s="54"/>
      <c r="Q92" s="54"/>
      <c r="R92" s="54"/>
      <c r="S92" s="54"/>
    </row>
    <row r="93" spans="1:19" ht="15" customHeight="1" x14ac:dyDescent="0.3">
      <c r="A93" s="18">
        <v>91</v>
      </c>
      <c r="B93" s="18">
        <v>147</v>
      </c>
      <c r="C93" s="15" t="s">
        <v>275</v>
      </c>
      <c r="D93" s="15" t="s">
        <v>183</v>
      </c>
      <c r="E93" s="17">
        <v>2634559</v>
      </c>
      <c r="F93" s="59">
        <v>0.28799999999999998</v>
      </c>
      <c r="G93" s="17">
        <v>65863987</v>
      </c>
      <c r="H93" s="18">
        <v>103</v>
      </c>
      <c r="I93" s="17">
        <v>0</v>
      </c>
      <c r="J93" s="59">
        <v>0</v>
      </c>
      <c r="K93" s="54"/>
      <c r="L93" s="54"/>
      <c r="M93" s="54"/>
      <c r="N93" s="54"/>
      <c r="O93" s="54"/>
      <c r="P93" s="54"/>
      <c r="Q93" s="54"/>
      <c r="R93" s="54"/>
      <c r="S93" s="54"/>
    </row>
    <row r="94" spans="1:19" ht="15" customHeight="1" x14ac:dyDescent="0.3">
      <c r="A94" s="19">
        <v>92</v>
      </c>
      <c r="B94" s="19">
        <v>80</v>
      </c>
      <c r="C94" s="9" t="s">
        <v>276</v>
      </c>
      <c r="D94" s="9" t="s">
        <v>260</v>
      </c>
      <c r="E94" s="11">
        <v>2628077</v>
      </c>
      <c r="F94" s="61">
        <v>-4.7E-2</v>
      </c>
      <c r="G94" s="11">
        <v>68330000</v>
      </c>
      <c r="H94" s="19">
        <v>92</v>
      </c>
      <c r="I94" s="11">
        <v>12907856</v>
      </c>
      <c r="J94" s="61">
        <v>0.24</v>
      </c>
      <c r="K94" s="54"/>
      <c r="L94" s="54"/>
      <c r="M94" s="54"/>
      <c r="N94" s="54"/>
      <c r="O94" s="54"/>
      <c r="P94" s="54"/>
      <c r="Q94" s="54"/>
      <c r="R94" s="54"/>
      <c r="S94" s="54"/>
    </row>
    <row r="95" spans="1:19" ht="15" customHeight="1" x14ac:dyDescent="0.3">
      <c r="A95" s="18">
        <v>93</v>
      </c>
      <c r="B95" s="18">
        <v>98</v>
      </c>
      <c r="C95" s="15" t="s">
        <v>277</v>
      </c>
      <c r="D95" s="15" t="s">
        <v>178</v>
      </c>
      <c r="E95" s="17">
        <v>2622287</v>
      </c>
      <c r="F95" s="59">
        <v>5.0999999999999997E-2</v>
      </c>
      <c r="G95" s="17">
        <v>65557187</v>
      </c>
      <c r="H95" s="18">
        <v>104</v>
      </c>
      <c r="I95" s="17">
        <v>11953188</v>
      </c>
      <c r="J95" s="59">
        <v>0.17</v>
      </c>
      <c r="K95" s="54"/>
      <c r="L95" s="54"/>
      <c r="M95" s="54"/>
      <c r="N95" s="54"/>
      <c r="O95" s="54"/>
      <c r="P95" s="54"/>
      <c r="Q95" s="54"/>
      <c r="R95" s="54"/>
      <c r="S95" s="54"/>
    </row>
    <row r="96" spans="1:19" ht="15" customHeight="1" x14ac:dyDescent="0.3">
      <c r="A96" s="19">
        <v>94</v>
      </c>
      <c r="B96" s="19">
        <v>90</v>
      </c>
      <c r="C96" s="9" t="s">
        <v>278</v>
      </c>
      <c r="D96" s="9" t="s">
        <v>260</v>
      </c>
      <c r="E96" s="11">
        <v>2614792</v>
      </c>
      <c r="F96" s="61">
        <v>-4.0000000000000001E-3</v>
      </c>
      <c r="G96" s="11">
        <v>62755000</v>
      </c>
      <c r="H96" s="19">
        <v>113</v>
      </c>
      <c r="I96" s="11">
        <v>12261392</v>
      </c>
      <c r="J96" s="61">
        <v>0.24</v>
      </c>
      <c r="K96" s="54"/>
      <c r="L96" s="54"/>
      <c r="M96" s="54"/>
      <c r="N96" s="54"/>
      <c r="O96" s="54"/>
      <c r="P96" s="54"/>
      <c r="Q96" s="54"/>
      <c r="R96" s="54"/>
      <c r="S96" s="54"/>
    </row>
    <row r="97" spans="1:19" ht="15" customHeight="1" x14ac:dyDescent="0.3">
      <c r="A97" s="18">
        <v>95</v>
      </c>
      <c r="B97" s="18">
        <v>87</v>
      </c>
      <c r="C97" s="15" t="s">
        <v>279</v>
      </c>
      <c r="D97" s="15" t="s">
        <v>260</v>
      </c>
      <c r="E97" s="17">
        <v>2551891</v>
      </c>
      <c r="F97" s="59">
        <v>-3.4000000000000002E-2</v>
      </c>
      <c r="G97" s="17">
        <v>66349166</v>
      </c>
      <c r="H97" s="18">
        <v>101</v>
      </c>
      <c r="I97" s="17">
        <v>12648376</v>
      </c>
      <c r="J97" s="59">
        <v>0.05</v>
      </c>
      <c r="K97" s="54"/>
      <c r="L97" s="54"/>
      <c r="M97" s="54"/>
      <c r="N97" s="54"/>
      <c r="O97" s="54"/>
      <c r="P97" s="54"/>
      <c r="Q97" s="54"/>
      <c r="R97" s="54"/>
      <c r="S97" s="54"/>
    </row>
    <row r="98" spans="1:19" ht="15" customHeight="1" x14ac:dyDescent="0.3">
      <c r="A98" s="19">
        <v>96</v>
      </c>
      <c r="B98" s="19">
        <v>115</v>
      </c>
      <c r="C98" s="9" t="s">
        <v>280</v>
      </c>
      <c r="D98" s="9" t="s">
        <v>200</v>
      </c>
      <c r="E98" s="11">
        <v>2530008</v>
      </c>
      <c r="F98" s="61">
        <v>9.7000000000000003E-2</v>
      </c>
      <c r="G98" s="11">
        <v>86020280</v>
      </c>
      <c r="H98" s="19">
        <v>68</v>
      </c>
      <c r="I98" s="11">
        <v>8697572</v>
      </c>
      <c r="J98" s="61">
        <v>1.6799999999999999E-2</v>
      </c>
      <c r="K98" s="54"/>
      <c r="L98" s="54"/>
      <c r="M98" s="54"/>
      <c r="N98" s="54"/>
      <c r="O98" s="54"/>
      <c r="P98" s="54"/>
      <c r="Q98" s="54"/>
      <c r="R98" s="54"/>
      <c r="S98" s="54"/>
    </row>
    <row r="99" spans="1:19" ht="15" customHeight="1" x14ac:dyDescent="0.3">
      <c r="A99" s="18">
        <v>97</v>
      </c>
      <c r="B99" s="18">
        <v>122</v>
      </c>
      <c r="C99" s="15" t="s">
        <v>281</v>
      </c>
      <c r="D99" s="15" t="s">
        <v>260</v>
      </c>
      <c r="E99" s="17">
        <v>2527685</v>
      </c>
      <c r="F99" s="59">
        <v>0.14399999999999999</v>
      </c>
      <c r="G99" s="17">
        <v>68247500</v>
      </c>
      <c r="H99" s="18">
        <v>93</v>
      </c>
      <c r="I99" s="17">
        <v>12600744</v>
      </c>
      <c r="J99" s="59">
        <v>0.06</v>
      </c>
      <c r="K99" s="54"/>
      <c r="L99" s="54"/>
      <c r="M99" s="54"/>
      <c r="N99" s="54"/>
      <c r="O99" s="54"/>
      <c r="P99" s="54"/>
      <c r="Q99" s="54"/>
      <c r="R99" s="54"/>
      <c r="S99" s="54"/>
    </row>
    <row r="100" spans="1:19" ht="15" customHeight="1" x14ac:dyDescent="0.3">
      <c r="A100" s="19">
        <v>98</v>
      </c>
      <c r="B100" s="19" t="s">
        <v>282</v>
      </c>
      <c r="C100" s="9" t="s">
        <v>283</v>
      </c>
      <c r="D100" s="9" t="s">
        <v>207</v>
      </c>
      <c r="E100" s="11">
        <v>2524438</v>
      </c>
      <c r="F100" s="61">
        <v>0</v>
      </c>
      <c r="G100" s="11">
        <v>6214000</v>
      </c>
      <c r="H100" s="19">
        <v>249</v>
      </c>
      <c r="I100" s="11">
        <v>0</v>
      </c>
      <c r="J100" s="61">
        <v>0</v>
      </c>
      <c r="K100" s="54"/>
      <c r="L100" s="54"/>
      <c r="M100" s="54"/>
      <c r="N100" s="54"/>
      <c r="O100" s="54"/>
      <c r="P100" s="54"/>
      <c r="Q100" s="54"/>
      <c r="R100" s="54"/>
      <c r="S100" s="54"/>
    </row>
    <row r="101" spans="1:19" ht="15" customHeight="1" x14ac:dyDescent="0.3">
      <c r="A101" s="18">
        <v>99</v>
      </c>
      <c r="B101" s="18">
        <v>112</v>
      </c>
      <c r="C101" s="15" t="s">
        <v>284</v>
      </c>
      <c r="D101" s="15" t="s">
        <v>260</v>
      </c>
      <c r="E101" s="17">
        <v>2508600</v>
      </c>
      <c r="F101" s="59">
        <v>7.3999999999999996E-2</v>
      </c>
      <c r="G101" s="17">
        <v>62715000</v>
      </c>
      <c r="H101" s="18">
        <v>114</v>
      </c>
      <c r="I101" s="17">
        <v>11270896</v>
      </c>
      <c r="J101" s="59">
        <v>0.21</v>
      </c>
      <c r="K101" s="54"/>
      <c r="L101" s="54"/>
      <c r="M101" s="54"/>
      <c r="N101" s="54"/>
      <c r="O101" s="54"/>
      <c r="P101" s="54"/>
      <c r="Q101" s="54"/>
      <c r="R101" s="54"/>
      <c r="S101" s="54"/>
    </row>
    <row r="102" spans="1:19" ht="15" customHeight="1" x14ac:dyDescent="0.3">
      <c r="A102" s="19">
        <v>100</v>
      </c>
      <c r="B102" s="19">
        <v>139</v>
      </c>
      <c r="C102" s="9" t="s">
        <v>285</v>
      </c>
      <c r="D102" s="9" t="s">
        <v>180</v>
      </c>
      <c r="E102" s="11">
        <v>2490997</v>
      </c>
      <c r="F102" s="61">
        <v>0.191</v>
      </c>
      <c r="G102" s="11">
        <v>77220900</v>
      </c>
      <c r="H102" s="19">
        <v>79</v>
      </c>
      <c r="I102" s="11">
        <v>10274160</v>
      </c>
      <c r="J102" s="61">
        <v>0.7</v>
      </c>
      <c r="K102" s="54"/>
      <c r="L102" s="54"/>
      <c r="M102" s="54"/>
      <c r="N102" s="54"/>
      <c r="O102" s="54"/>
      <c r="P102" s="54"/>
      <c r="Q102" s="54"/>
      <c r="R102" s="54"/>
      <c r="S102" s="54"/>
    </row>
    <row r="103" spans="1:19" ht="15" customHeight="1" x14ac:dyDescent="0.3">
      <c r="A103" s="18">
        <v>101</v>
      </c>
      <c r="B103" s="18">
        <v>99</v>
      </c>
      <c r="C103" s="15" t="s">
        <v>286</v>
      </c>
      <c r="D103" s="15" t="s">
        <v>260</v>
      </c>
      <c r="E103" s="17">
        <v>2488600</v>
      </c>
      <c r="F103" s="59">
        <v>8.9999999999999993E-3</v>
      </c>
      <c r="G103" s="17">
        <v>62215000</v>
      </c>
      <c r="H103" s="18">
        <v>119</v>
      </c>
      <c r="I103" s="17">
        <v>12400596</v>
      </c>
      <c r="J103" s="59">
        <v>7.0000000000000007E-2</v>
      </c>
      <c r="K103" s="54"/>
      <c r="L103" s="54"/>
      <c r="M103" s="54"/>
      <c r="N103" s="54"/>
      <c r="O103" s="54"/>
      <c r="P103" s="54"/>
      <c r="Q103" s="54"/>
      <c r="R103" s="54"/>
      <c r="S103" s="54"/>
    </row>
    <row r="104" spans="1:19" ht="15" customHeight="1" x14ac:dyDescent="0.3">
      <c r="A104" s="19">
        <v>102</v>
      </c>
      <c r="B104" s="19">
        <v>88</v>
      </c>
      <c r="C104" s="9" t="s">
        <v>287</v>
      </c>
      <c r="D104" s="9" t="s">
        <v>183</v>
      </c>
      <c r="E104" s="11">
        <v>2484453</v>
      </c>
      <c r="F104" s="61">
        <v>-6.6000000000000003E-2</v>
      </c>
      <c r="G104" s="11">
        <v>62111320</v>
      </c>
      <c r="H104" s="19">
        <v>121</v>
      </c>
      <c r="I104" s="11">
        <v>0</v>
      </c>
      <c r="J104" s="61">
        <v>0</v>
      </c>
      <c r="K104" s="54"/>
      <c r="L104" s="54"/>
      <c r="M104" s="54"/>
      <c r="N104" s="54"/>
      <c r="O104" s="54"/>
      <c r="P104" s="54"/>
      <c r="Q104" s="54"/>
      <c r="R104" s="54"/>
      <c r="S104" s="54"/>
    </row>
    <row r="105" spans="1:19" ht="15" customHeight="1" x14ac:dyDescent="0.3">
      <c r="A105" s="18">
        <v>103</v>
      </c>
      <c r="B105" s="18">
        <v>63</v>
      </c>
      <c r="C105" s="15" t="s">
        <v>288</v>
      </c>
      <c r="D105" s="15" t="s">
        <v>207</v>
      </c>
      <c r="E105" s="17">
        <v>2478125</v>
      </c>
      <c r="F105" s="59">
        <v>-0.26100000000000001</v>
      </c>
      <c r="G105" s="17">
        <v>6100000</v>
      </c>
      <c r="H105" s="18">
        <v>250</v>
      </c>
      <c r="I105" s="17">
        <v>16717584</v>
      </c>
      <c r="J105" s="59">
        <v>-0.36</v>
      </c>
      <c r="K105" s="54"/>
      <c r="L105" s="54"/>
      <c r="M105" s="54"/>
      <c r="N105" s="54"/>
      <c r="O105" s="54"/>
      <c r="P105" s="54"/>
      <c r="Q105" s="54"/>
      <c r="R105" s="54"/>
      <c r="S105" s="54"/>
    </row>
    <row r="106" spans="1:19" ht="15" customHeight="1" x14ac:dyDescent="0.3">
      <c r="A106" s="19">
        <v>104</v>
      </c>
      <c r="B106" s="19">
        <v>111</v>
      </c>
      <c r="C106" s="9" t="s">
        <v>289</v>
      </c>
      <c r="D106" s="9" t="s">
        <v>260</v>
      </c>
      <c r="E106" s="11">
        <v>2467660</v>
      </c>
      <c r="F106" s="61">
        <v>5.0999999999999997E-2</v>
      </c>
      <c r="G106" s="11">
        <v>64159167</v>
      </c>
      <c r="H106" s="19">
        <v>109</v>
      </c>
      <c r="I106" s="11">
        <v>10363912</v>
      </c>
      <c r="J106" s="61">
        <v>0.3</v>
      </c>
      <c r="K106" s="54"/>
      <c r="L106" s="54"/>
      <c r="M106" s="54"/>
      <c r="N106" s="54"/>
      <c r="O106" s="54"/>
      <c r="P106" s="54"/>
      <c r="Q106" s="54"/>
      <c r="R106" s="54"/>
      <c r="S106" s="54"/>
    </row>
    <row r="107" spans="1:19" ht="15" customHeight="1" x14ac:dyDescent="0.3">
      <c r="A107" s="18">
        <v>105</v>
      </c>
      <c r="B107" s="18">
        <v>93</v>
      </c>
      <c r="C107" s="15" t="s">
        <v>290</v>
      </c>
      <c r="D107" s="15" t="s">
        <v>260</v>
      </c>
      <c r="E107" s="17">
        <v>2456452</v>
      </c>
      <c r="F107" s="59">
        <v>-4.4999999999999998E-2</v>
      </c>
      <c r="G107" s="17">
        <v>76150000</v>
      </c>
      <c r="H107" s="18">
        <v>80</v>
      </c>
      <c r="I107" s="17">
        <v>12233624</v>
      </c>
      <c r="J107" s="59">
        <v>0.04</v>
      </c>
      <c r="K107" s="54"/>
      <c r="L107" s="54"/>
      <c r="M107" s="54"/>
      <c r="N107" s="54"/>
      <c r="O107" s="54"/>
      <c r="P107" s="54"/>
      <c r="Q107" s="54"/>
      <c r="R107" s="54"/>
      <c r="S107" s="54"/>
    </row>
    <row r="108" spans="1:19" ht="15" customHeight="1" x14ac:dyDescent="0.3">
      <c r="A108" s="19">
        <v>106</v>
      </c>
      <c r="B108" s="19">
        <v>117</v>
      </c>
      <c r="C108" s="9" t="s">
        <v>291</v>
      </c>
      <c r="D108" s="9" t="s">
        <v>260</v>
      </c>
      <c r="E108" s="11">
        <v>2447917</v>
      </c>
      <c r="F108" s="61">
        <v>8.2000000000000003E-2</v>
      </c>
      <c r="G108" s="11">
        <v>58750000</v>
      </c>
      <c r="H108" s="19">
        <v>136</v>
      </c>
      <c r="I108" s="11">
        <v>10875852</v>
      </c>
      <c r="J108" s="61">
        <v>0.35</v>
      </c>
      <c r="K108" s="54"/>
      <c r="L108" s="54"/>
      <c r="M108" s="54"/>
      <c r="N108" s="54"/>
      <c r="O108" s="54"/>
      <c r="P108" s="54"/>
      <c r="Q108" s="54"/>
      <c r="R108" s="54"/>
      <c r="S108" s="54"/>
    </row>
    <row r="109" spans="1:19" ht="15" customHeight="1" x14ac:dyDescent="0.3">
      <c r="A109" s="18">
        <v>107</v>
      </c>
      <c r="B109" s="18">
        <v>135</v>
      </c>
      <c r="C109" s="15" t="s">
        <v>292</v>
      </c>
      <c r="D109" s="15" t="s">
        <v>188</v>
      </c>
      <c r="E109" s="17">
        <v>2440184</v>
      </c>
      <c r="F109" s="59">
        <v>0.152</v>
      </c>
      <c r="G109" s="17">
        <v>65884960</v>
      </c>
      <c r="H109" s="18">
        <v>102</v>
      </c>
      <c r="I109" s="17">
        <v>0</v>
      </c>
      <c r="J109" s="59">
        <v>0</v>
      </c>
      <c r="K109" s="54"/>
      <c r="L109" s="54"/>
      <c r="M109" s="54"/>
      <c r="N109" s="54"/>
      <c r="O109" s="54"/>
      <c r="P109" s="54"/>
      <c r="Q109" s="54"/>
      <c r="R109" s="54"/>
      <c r="S109" s="54"/>
    </row>
    <row r="110" spans="1:19" ht="15" customHeight="1" x14ac:dyDescent="0.3">
      <c r="A110" s="19">
        <v>108</v>
      </c>
      <c r="B110" s="19">
        <v>72</v>
      </c>
      <c r="C110" s="9" t="s">
        <v>293</v>
      </c>
      <c r="D110" s="9" t="s">
        <v>188</v>
      </c>
      <c r="E110" s="11">
        <v>2436625</v>
      </c>
      <c r="F110" s="61">
        <v>-0.17499999999999999</v>
      </c>
      <c r="G110" s="11">
        <v>58479000</v>
      </c>
      <c r="H110" s="19">
        <v>137</v>
      </c>
      <c r="I110" s="11">
        <v>0</v>
      </c>
      <c r="J110" s="61">
        <v>0</v>
      </c>
      <c r="K110" s="54"/>
      <c r="L110" s="54"/>
      <c r="M110" s="54"/>
      <c r="N110" s="54"/>
      <c r="O110" s="54"/>
      <c r="P110" s="54"/>
      <c r="Q110" s="54"/>
      <c r="R110" s="54"/>
      <c r="S110" s="54"/>
    </row>
    <row r="111" spans="1:19" ht="15" customHeight="1" x14ac:dyDescent="0.3">
      <c r="A111" s="18">
        <v>109</v>
      </c>
      <c r="B111" s="18">
        <v>73</v>
      </c>
      <c r="C111" s="15" t="s">
        <v>294</v>
      </c>
      <c r="D111" s="15" t="s">
        <v>178</v>
      </c>
      <c r="E111" s="17">
        <v>2431002</v>
      </c>
      <c r="F111" s="59">
        <v>-0.154</v>
      </c>
      <c r="G111" s="17">
        <v>60775039</v>
      </c>
      <c r="H111" s="18">
        <v>127</v>
      </c>
      <c r="I111" s="17">
        <v>11160968</v>
      </c>
      <c r="J111" s="59">
        <v>0.74</v>
      </c>
      <c r="K111" s="54"/>
      <c r="L111" s="54"/>
      <c r="M111" s="54"/>
      <c r="N111" s="54"/>
      <c r="O111" s="54"/>
      <c r="P111" s="54"/>
      <c r="Q111" s="54"/>
      <c r="R111" s="54"/>
      <c r="S111" s="54"/>
    </row>
    <row r="112" spans="1:19" ht="15" customHeight="1" x14ac:dyDescent="0.3">
      <c r="A112" s="19">
        <v>110</v>
      </c>
      <c r="B112" s="19">
        <v>125</v>
      </c>
      <c r="C112" s="9" t="s">
        <v>295</v>
      </c>
      <c r="D112" s="9" t="s">
        <v>260</v>
      </c>
      <c r="E112" s="11">
        <v>2427800</v>
      </c>
      <c r="F112" s="61">
        <v>0.104</v>
      </c>
      <c r="G112" s="11">
        <v>60695000</v>
      </c>
      <c r="H112" s="19">
        <v>128</v>
      </c>
      <c r="I112" s="11">
        <v>12086932</v>
      </c>
      <c r="J112" s="61">
        <v>-0.1</v>
      </c>
      <c r="K112" s="54"/>
      <c r="L112" s="54"/>
      <c r="M112" s="54"/>
      <c r="N112" s="54"/>
      <c r="O112" s="54"/>
      <c r="P112" s="54"/>
      <c r="Q112" s="54"/>
      <c r="R112" s="54"/>
      <c r="S112" s="54"/>
    </row>
    <row r="113" spans="1:19" ht="15" customHeight="1" x14ac:dyDescent="0.3">
      <c r="A113" s="18">
        <v>111</v>
      </c>
      <c r="B113" s="18">
        <v>101</v>
      </c>
      <c r="C113" s="15" t="s">
        <v>296</v>
      </c>
      <c r="D113" s="15" t="s">
        <v>188</v>
      </c>
      <c r="E113" s="17">
        <v>2390896</v>
      </c>
      <c r="F113" s="59">
        <v>-2.8000000000000001E-2</v>
      </c>
      <c r="G113" s="17">
        <v>59772400</v>
      </c>
      <c r="H113" s="18">
        <v>129</v>
      </c>
      <c r="I113" s="17">
        <v>0</v>
      </c>
      <c r="J113" s="59">
        <v>0</v>
      </c>
      <c r="K113" s="54"/>
      <c r="L113" s="54"/>
      <c r="M113" s="54"/>
      <c r="N113" s="54"/>
      <c r="O113" s="54"/>
      <c r="P113" s="54"/>
      <c r="Q113" s="54"/>
      <c r="R113" s="54"/>
      <c r="S113" s="54"/>
    </row>
    <row r="114" spans="1:19" ht="15" customHeight="1" x14ac:dyDescent="0.3">
      <c r="A114" s="19">
        <v>112</v>
      </c>
      <c r="B114" s="19">
        <v>118</v>
      </c>
      <c r="C114" s="9" t="s">
        <v>297</v>
      </c>
      <c r="D114" s="9" t="s">
        <v>178</v>
      </c>
      <c r="E114" s="11">
        <v>2360048</v>
      </c>
      <c r="F114" s="61">
        <v>4.4999999999999998E-2</v>
      </c>
      <c r="G114" s="11">
        <v>59001195</v>
      </c>
      <c r="H114" s="19">
        <v>135</v>
      </c>
      <c r="I114" s="11">
        <v>0</v>
      </c>
      <c r="J114" s="61">
        <v>0</v>
      </c>
      <c r="K114" s="54"/>
      <c r="L114" s="54"/>
      <c r="M114" s="54"/>
      <c r="N114" s="54"/>
      <c r="O114" s="54"/>
      <c r="P114" s="54"/>
      <c r="Q114" s="54"/>
      <c r="R114" s="54"/>
      <c r="S114" s="54"/>
    </row>
    <row r="115" spans="1:19" ht="15" customHeight="1" x14ac:dyDescent="0.3">
      <c r="A115" s="18">
        <v>113</v>
      </c>
      <c r="B115" s="18">
        <v>149</v>
      </c>
      <c r="C115" s="15" t="s">
        <v>298</v>
      </c>
      <c r="D115" s="15" t="s">
        <v>188</v>
      </c>
      <c r="E115" s="17">
        <v>2342918</v>
      </c>
      <c r="F115" s="59">
        <v>0.161</v>
      </c>
      <c r="G115" s="17">
        <v>60915872</v>
      </c>
      <c r="H115" s="18">
        <v>125</v>
      </c>
      <c r="I115" s="17">
        <v>0</v>
      </c>
      <c r="J115" s="59">
        <v>0</v>
      </c>
      <c r="K115" s="54"/>
      <c r="L115" s="54"/>
      <c r="M115" s="54"/>
      <c r="N115" s="54"/>
      <c r="O115" s="54"/>
      <c r="P115" s="54"/>
      <c r="Q115" s="54"/>
      <c r="R115" s="54"/>
      <c r="S115" s="54"/>
    </row>
    <row r="116" spans="1:19" ht="15" customHeight="1" x14ac:dyDescent="0.3">
      <c r="A116" s="19">
        <v>114</v>
      </c>
      <c r="B116" s="19">
        <v>131</v>
      </c>
      <c r="C116" s="9" t="s">
        <v>299</v>
      </c>
      <c r="D116" s="9" t="s">
        <v>260</v>
      </c>
      <c r="E116" s="11">
        <v>2339583</v>
      </c>
      <c r="F116" s="61">
        <v>8.8999999999999996E-2</v>
      </c>
      <c r="G116" s="11">
        <v>56150000</v>
      </c>
      <c r="H116" s="19">
        <v>142</v>
      </c>
      <c r="I116" s="11">
        <v>10225436</v>
      </c>
      <c r="J116" s="61">
        <v>0.42</v>
      </c>
      <c r="K116" s="54"/>
      <c r="L116" s="54"/>
      <c r="M116" s="54"/>
      <c r="N116" s="54"/>
      <c r="O116" s="54"/>
      <c r="P116" s="54"/>
      <c r="Q116" s="54"/>
      <c r="R116" s="54"/>
      <c r="S116" s="54"/>
    </row>
    <row r="117" spans="1:19" ht="15" customHeight="1" x14ac:dyDescent="0.3">
      <c r="A117" s="18">
        <v>115</v>
      </c>
      <c r="B117" s="18">
        <v>153</v>
      </c>
      <c r="C117" s="15" t="s">
        <v>300</v>
      </c>
      <c r="D117" s="15" t="s">
        <v>301</v>
      </c>
      <c r="E117" s="17">
        <v>2315053</v>
      </c>
      <c r="F117" s="59">
        <v>0.155</v>
      </c>
      <c r="G117" s="17">
        <v>122697830</v>
      </c>
      <c r="H117" s="18">
        <v>23</v>
      </c>
      <c r="I117" s="17">
        <v>11679668</v>
      </c>
      <c r="J117" s="59">
        <v>0.02</v>
      </c>
      <c r="K117" s="54"/>
      <c r="L117" s="54"/>
      <c r="M117" s="54"/>
      <c r="N117" s="54"/>
      <c r="O117" s="54"/>
      <c r="P117" s="54"/>
      <c r="Q117" s="54"/>
      <c r="R117" s="54"/>
      <c r="S117" s="54"/>
    </row>
    <row r="118" spans="1:19" ht="15" customHeight="1" x14ac:dyDescent="0.3">
      <c r="A118" s="19">
        <v>116</v>
      </c>
      <c r="B118" s="19">
        <v>162</v>
      </c>
      <c r="C118" s="9" t="s">
        <v>302</v>
      </c>
      <c r="D118" s="9" t="s">
        <v>301</v>
      </c>
      <c r="E118" s="11">
        <v>2303317</v>
      </c>
      <c r="F118" s="61">
        <v>0.26</v>
      </c>
      <c r="G118" s="11">
        <v>122075805</v>
      </c>
      <c r="H118" s="19">
        <v>24</v>
      </c>
      <c r="I118" s="11">
        <v>10627968</v>
      </c>
      <c r="J118" s="61">
        <v>0.43</v>
      </c>
      <c r="K118" s="54"/>
      <c r="L118" s="54"/>
      <c r="M118" s="54"/>
      <c r="N118" s="54"/>
      <c r="O118" s="54"/>
      <c r="P118" s="54"/>
      <c r="Q118" s="54"/>
      <c r="R118" s="54"/>
      <c r="S118" s="54"/>
    </row>
    <row r="119" spans="1:19" ht="15" customHeight="1" x14ac:dyDescent="0.3">
      <c r="A119" s="18">
        <v>117</v>
      </c>
      <c r="B119" s="18">
        <v>127</v>
      </c>
      <c r="C119" s="15" t="s">
        <v>303</v>
      </c>
      <c r="D119" s="15" t="s">
        <v>178</v>
      </c>
      <c r="E119" s="17">
        <v>2301740</v>
      </c>
      <c r="F119" s="59">
        <v>5.7000000000000002E-2</v>
      </c>
      <c r="G119" s="17">
        <v>57543488</v>
      </c>
      <c r="H119" s="18">
        <v>138</v>
      </c>
      <c r="I119" s="17">
        <v>0</v>
      </c>
      <c r="J119" s="59">
        <v>0</v>
      </c>
      <c r="K119" s="54"/>
      <c r="L119" s="54"/>
      <c r="M119" s="54"/>
      <c r="N119" s="54"/>
      <c r="O119" s="54"/>
      <c r="P119" s="54"/>
      <c r="Q119" s="54"/>
      <c r="R119" s="54"/>
      <c r="S119" s="54"/>
    </row>
    <row r="120" spans="1:19" ht="15" customHeight="1" x14ac:dyDescent="0.3">
      <c r="A120" s="19">
        <v>118</v>
      </c>
      <c r="B120" s="19">
        <v>113</v>
      </c>
      <c r="C120" s="9" t="s">
        <v>304</v>
      </c>
      <c r="D120" s="9" t="s">
        <v>260</v>
      </c>
      <c r="E120" s="11">
        <v>2296769</v>
      </c>
      <c r="F120" s="61">
        <v>-6.0000000000000001E-3</v>
      </c>
      <c r="G120" s="11">
        <v>59716000</v>
      </c>
      <c r="H120" s="19">
        <v>131</v>
      </c>
      <c r="I120" s="11">
        <v>10013536</v>
      </c>
      <c r="J120" s="61">
        <v>0.19</v>
      </c>
      <c r="K120" s="54"/>
      <c r="L120" s="54"/>
      <c r="M120" s="54"/>
      <c r="N120" s="54"/>
      <c r="O120" s="54"/>
      <c r="P120" s="54"/>
      <c r="Q120" s="54"/>
      <c r="R120" s="54"/>
      <c r="S120" s="54"/>
    </row>
    <row r="121" spans="1:19" ht="15" customHeight="1" x14ac:dyDescent="0.3">
      <c r="A121" s="18">
        <v>119</v>
      </c>
      <c r="B121" s="18">
        <v>97</v>
      </c>
      <c r="C121" s="15" t="s">
        <v>305</v>
      </c>
      <c r="D121" s="15" t="s">
        <v>260</v>
      </c>
      <c r="E121" s="17">
        <v>2294519</v>
      </c>
      <c r="F121" s="59">
        <v>-8.5000000000000006E-2</v>
      </c>
      <c r="G121" s="17">
        <v>59657500</v>
      </c>
      <c r="H121" s="18">
        <v>132</v>
      </c>
      <c r="I121" s="17">
        <v>11233456</v>
      </c>
      <c r="J121" s="59">
        <v>7.0000000000000007E-2</v>
      </c>
      <c r="K121" s="54"/>
      <c r="L121" s="54"/>
      <c r="M121" s="54"/>
      <c r="N121" s="54"/>
      <c r="O121" s="54"/>
      <c r="P121" s="54"/>
      <c r="Q121" s="54"/>
      <c r="R121" s="54"/>
      <c r="S121" s="54"/>
    </row>
    <row r="122" spans="1:19" ht="15" customHeight="1" x14ac:dyDescent="0.3">
      <c r="A122" s="19">
        <v>120</v>
      </c>
      <c r="B122" s="19">
        <v>103</v>
      </c>
      <c r="C122" s="9" t="s">
        <v>306</v>
      </c>
      <c r="D122" s="9" t="s">
        <v>260</v>
      </c>
      <c r="E122" s="11">
        <v>2264790</v>
      </c>
      <c r="F122" s="61">
        <v>-7.5999999999999998E-2</v>
      </c>
      <c r="G122" s="11">
        <v>63414125</v>
      </c>
      <c r="H122" s="19">
        <v>112</v>
      </c>
      <c r="I122" s="11">
        <v>11542232</v>
      </c>
      <c r="J122" s="61">
        <v>0.14000000000000001</v>
      </c>
      <c r="K122" s="54"/>
      <c r="L122" s="54"/>
      <c r="M122" s="54"/>
      <c r="N122" s="54"/>
      <c r="O122" s="54"/>
      <c r="P122" s="54"/>
      <c r="Q122" s="54"/>
      <c r="R122" s="54"/>
      <c r="S122" s="54"/>
    </row>
    <row r="123" spans="1:19" ht="15" customHeight="1" x14ac:dyDescent="0.3">
      <c r="A123" s="18">
        <v>121</v>
      </c>
      <c r="B123" s="18">
        <v>107</v>
      </c>
      <c r="C123" s="15" t="s">
        <v>307</v>
      </c>
      <c r="D123" s="15" t="s">
        <v>301</v>
      </c>
      <c r="E123" s="17">
        <v>2235822</v>
      </c>
      <c r="F123" s="59">
        <v>-6.4000000000000001E-2</v>
      </c>
      <c r="G123" s="17">
        <v>118498578</v>
      </c>
      <c r="H123" s="18">
        <v>25</v>
      </c>
      <c r="I123" s="17">
        <v>11523876</v>
      </c>
      <c r="J123" s="59">
        <v>0.02</v>
      </c>
      <c r="K123" s="54"/>
      <c r="L123" s="54"/>
      <c r="M123" s="54"/>
      <c r="N123" s="54"/>
      <c r="O123" s="54"/>
      <c r="P123" s="54"/>
      <c r="Q123" s="54"/>
      <c r="R123" s="54"/>
      <c r="S123" s="54"/>
    </row>
    <row r="124" spans="1:19" ht="15" customHeight="1" x14ac:dyDescent="0.3">
      <c r="A124" s="19">
        <v>122</v>
      </c>
      <c r="B124" s="19">
        <v>89</v>
      </c>
      <c r="C124" s="9" t="s">
        <v>308</v>
      </c>
      <c r="D124" s="9" t="s">
        <v>260</v>
      </c>
      <c r="E124" s="11">
        <v>2234896</v>
      </c>
      <c r="F124" s="61">
        <v>-0.15</v>
      </c>
      <c r="G124" s="11">
        <v>53637500</v>
      </c>
      <c r="H124" s="19">
        <v>146</v>
      </c>
      <c r="I124" s="11">
        <v>12668292</v>
      </c>
      <c r="J124" s="61">
        <v>-7.0000000000000007E-2</v>
      </c>
      <c r="K124" s="54"/>
      <c r="L124" s="54"/>
      <c r="M124" s="54"/>
      <c r="N124" s="54"/>
      <c r="O124" s="54"/>
      <c r="P124" s="54"/>
      <c r="Q124" s="54"/>
      <c r="R124" s="54"/>
      <c r="S124" s="54"/>
    </row>
    <row r="125" spans="1:19" ht="15" customHeight="1" x14ac:dyDescent="0.3">
      <c r="A125" s="18">
        <v>123</v>
      </c>
      <c r="B125" s="18">
        <v>124</v>
      </c>
      <c r="C125" s="15" t="s">
        <v>309</v>
      </c>
      <c r="D125" s="15" t="s">
        <v>260</v>
      </c>
      <c r="E125" s="17">
        <v>2225000</v>
      </c>
      <c r="F125" s="59">
        <v>8.9999999999999993E-3</v>
      </c>
      <c r="G125" s="17">
        <v>53400000</v>
      </c>
      <c r="H125" s="18">
        <v>147</v>
      </c>
      <c r="I125" s="17">
        <v>9461192</v>
      </c>
      <c r="J125" s="59">
        <v>0.22</v>
      </c>
      <c r="K125" s="54"/>
      <c r="L125" s="54"/>
      <c r="M125" s="54"/>
      <c r="N125" s="54"/>
      <c r="O125" s="54"/>
      <c r="P125" s="54"/>
      <c r="Q125" s="54"/>
      <c r="R125" s="54"/>
      <c r="S125" s="54"/>
    </row>
    <row r="126" spans="1:19" ht="15" customHeight="1" x14ac:dyDescent="0.3">
      <c r="A126" s="19">
        <v>124</v>
      </c>
      <c r="B126" s="19">
        <v>102</v>
      </c>
      <c r="C126" s="9" t="s">
        <v>310</v>
      </c>
      <c r="D126" s="9" t="s">
        <v>260</v>
      </c>
      <c r="E126" s="11">
        <v>2222200</v>
      </c>
      <c r="F126" s="61">
        <v>-9.5000000000000001E-2</v>
      </c>
      <c r="G126" s="11">
        <v>55555000</v>
      </c>
      <c r="H126" s="19">
        <v>143</v>
      </c>
      <c r="I126" s="11">
        <v>10869248</v>
      </c>
      <c r="J126" s="61">
        <v>-0.02</v>
      </c>
      <c r="K126" s="54"/>
      <c r="L126" s="54"/>
      <c r="M126" s="54"/>
      <c r="N126" s="54"/>
      <c r="O126" s="54"/>
      <c r="P126" s="54"/>
      <c r="Q126" s="54"/>
      <c r="R126" s="54"/>
      <c r="S126" s="54"/>
    </row>
    <row r="127" spans="1:19" ht="15" customHeight="1" x14ac:dyDescent="0.3">
      <c r="A127" s="18">
        <v>125</v>
      </c>
      <c r="B127" s="18">
        <v>110</v>
      </c>
      <c r="C127" s="15" t="s">
        <v>311</v>
      </c>
      <c r="D127" s="15" t="s">
        <v>301</v>
      </c>
      <c r="E127" s="17">
        <v>2213884</v>
      </c>
      <c r="F127" s="59">
        <v>-5.7000000000000002E-2</v>
      </c>
      <c r="G127" s="17">
        <v>117335842</v>
      </c>
      <c r="H127" s="18">
        <v>26</v>
      </c>
      <c r="I127" s="17">
        <v>9810580</v>
      </c>
      <c r="J127" s="59">
        <v>0.37</v>
      </c>
      <c r="K127" s="54"/>
      <c r="L127" s="54"/>
      <c r="M127" s="54"/>
      <c r="N127" s="54"/>
      <c r="O127" s="54"/>
      <c r="P127" s="54"/>
      <c r="Q127" s="54"/>
      <c r="R127" s="54"/>
      <c r="S127" s="54"/>
    </row>
    <row r="128" spans="1:19" ht="15" customHeight="1" x14ac:dyDescent="0.3">
      <c r="A128" s="19">
        <v>126</v>
      </c>
      <c r="B128" s="19">
        <v>128</v>
      </c>
      <c r="C128" s="9" t="s">
        <v>312</v>
      </c>
      <c r="D128" s="9" t="s">
        <v>260</v>
      </c>
      <c r="E128" s="11">
        <v>2212315</v>
      </c>
      <c r="F128" s="61">
        <v>1.7999999999999999E-2</v>
      </c>
      <c r="G128" s="11">
        <v>59732500</v>
      </c>
      <c r="H128" s="19">
        <v>130</v>
      </c>
      <c r="I128" s="11">
        <v>11082396</v>
      </c>
      <c r="J128" s="61">
        <v>0.11</v>
      </c>
      <c r="K128" s="54"/>
      <c r="L128" s="54"/>
      <c r="M128" s="54"/>
      <c r="N128" s="54"/>
      <c r="O128" s="54"/>
      <c r="P128" s="54"/>
      <c r="Q128" s="54"/>
      <c r="R128" s="54"/>
      <c r="S128" s="54"/>
    </row>
    <row r="129" spans="1:19" ht="15" customHeight="1" x14ac:dyDescent="0.3">
      <c r="A129" s="18">
        <v>127</v>
      </c>
      <c r="B129" s="18">
        <v>137</v>
      </c>
      <c r="C129" s="15" t="s">
        <v>313</v>
      </c>
      <c r="D129" s="15" t="s">
        <v>260</v>
      </c>
      <c r="E129" s="17">
        <v>2211771</v>
      </c>
      <c r="F129" s="59">
        <v>4.4999999999999998E-2</v>
      </c>
      <c r="G129" s="17">
        <v>53082500</v>
      </c>
      <c r="H129" s="18">
        <v>148</v>
      </c>
      <c r="I129" s="17">
        <v>11403080</v>
      </c>
      <c r="J129" s="59">
        <v>-0.12</v>
      </c>
      <c r="K129" s="54"/>
      <c r="L129" s="54"/>
      <c r="M129" s="54"/>
      <c r="N129" s="54"/>
      <c r="O129" s="54"/>
      <c r="P129" s="54"/>
      <c r="Q129" s="54"/>
      <c r="R129" s="54"/>
      <c r="S129" s="54"/>
    </row>
    <row r="130" spans="1:19" ht="15" customHeight="1" x14ac:dyDescent="0.3">
      <c r="A130" s="19">
        <v>128</v>
      </c>
      <c r="B130" s="19">
        <v>164</v>
      </c>
      <c r="C130" s="9" t="s">
        <v>314</v>
      </c>
      <c r="D130" s="9" t="s">
        <v>188</v>
      </c>
      <c r="E130" s="11">
        <v>2198933</v>
      </c>
      <c r="F130" s="61">
        <v>0.20699999999999999</v>
      </c>
      <c r="G130" s="11">
        <v>59371200</v>
      </c>
      <c r="H130" s="19">
        <v>134</v>
      </c>
      <c r="I130" s="11">
        <v>0</v>
      </c>
      <c r="J130" s="61">
        <v>0</v>
      </c>
      <c r="K130" s="54"/>
      <c r="L130" s="54"/>
      <c r="M130" s="54"/>
      <c r="N130" s="54"/>
      <c r="O130" s="54"/>
      <c r="P130" s="54"/>
      <c r="Q130" s="54"/>
      <c r="R130" s="54"/>
      <c r="S130" s="54"/>
    </row>
    <row r="131" spans="1:19" ht="15" customHeight="1" x14ac:dyDescent="0.3">
      <c r="A131" s="18">
        <v>129</v>
      </c>
      <c r="B131" s="18">
        <v>130</v>
      </c>
      <c r="C131" s="15" t="s">
        <v>315</v>
      </c>
      <c r="D131" s="15" t="s">
        <v>260</v>
      </c>
      <c r="E131" s="17">
        <v>2196009</v>
      </c>
      <c r="F131" s="59">
        <v>1.4999999999999999E-2</v>
      </c>
      <c r="G131" s="17">
        <v>63684275</v>
      </c>
      <c r="H131" s="18">
        <v>111</v>
      </c>
      <c r="I131" s="17">
        <v>10805028</v>
      </c>
      <c r="J131" s="59">
        <v>0.11</v>
      </c>
      <c r="K131" s="54"/>
      <c r="L131" s="54"/>
      <c r="M131" s="54"/>
      <c r="N131" s="54"/>
      <c r="O131" s="54"/>
      <c r="P131" s="54"/>
      <c r="Q131" s="54"/>
      <c r="R131" s="54"/>
      <c r="S131" s="54"/>
    </row>
    <row r="132" spans="1:19" ht="15" customHeight="1" x14ac:dyDescent="0.3">
      <c r="A132" s="19">
        <v>130</v>
      </c>
      <c r="B132" s="19">
        <v>145</v>
      </c>
      <c r="C132" s="9" t="s">
        <v>316</v>
      </c>
      <c r="D132" s="9" t="s">
        <v>301</v>
      </c>
      <c r="E132" s="11">
        <v>2195643</v>
      </c>
      <c r="F132" s="61">
        <v>7.8E-2</v>
      </c>
      <c r="G132" s="11">
        <v>116369072</v>
      </c>
      <c r="H132" s="19">
        <v>27</v>
      </c>
      <c r="I132" s="11">
        <v>11529544</v>
      </c>
      <c r="J132" s="61">
        <v>-0.02</v>
      </c>
      <c r="K132" s="54"/>
      <c r="L132" s="54"/>
      <c r="M132" s="54"/>
      <c r="N132" s="54"/>
      <c r="O132" s="54"/>
      <c r="P132" s="54"/>
      <c r="Q132" s="54"/>
      <c r="R132" s="54"/>
      <c r="S132" s="54"/>
    </row>
    <row r="133" spans="1:19" ht="15" customHeight="1" x14ac:dyDescent="0.3">
      <c r="A133" s="18">
        <v>131</v>
      </c>
      <c r="B133" s="18" t="s">
        <v>282</v>
      </c>
      <c r="C133" s="15" t="s">
        <v>317</v>
      </c>
      <c r="D133" s="15" t="s">
        <v>178</v>
      </c>
      <c r="E133" s="17">
        <v>2186148</v>
      </c>
      <c r="F133" s="59">
        <v>0</v>
      </c>
      <c r="G133" s="17">
        <v>54653688</v>
      </c>
      <c r="H133" s="18">
        <v>145</v>
      </c>
      <c r="I133" s="17">
        <v>9759464</v>
      </c>
      <c r="J133" s="59">
        <v>-0.2</v>
      </c>
      <c r="K133" s="54"/>
      <c r="L133" s="54"/>
      <c r="M133" s="54"/>
      <c r="N133" s="54"/>
      <c r="O133" s="54"/>
      <c r="P133" s="54"/>
      <c r="Q133" s="54"/>
      <c r="R133" s="54"/>
      <c r="S133" s="54"/>
    </row>
    <row r="134" spans="1:19" ht="15" customHeight="1" x14ac:dyDescent="0.3">
      <c r="A134" s="19">
        <v>132</v>
      </c>
      <c r="B134" s="19">
        <v>105</v>
      </c>
      <c r="C134" s="9" t="s">
        <v>318</v>
      </c>
      <c r="D134" s="9" t="s">
        <v>301</v>
      </c>
      <c r="E134" s="11">
        <v>2171845</v>
      </c>
      <c r="F134" s="61">
        <v>-0.104</v>
      </c>
      <c r="G134" s="11">
        <v>115107799</v>
      </c>
      <c r="H134" s="19">
        <v>28</v>
      </c>
      <c r="I134" s="11">
        <v>9889256</v>
      </c>
      <c r="J134" s="61">
        <v>0.45</v>
      </c>
      <c r="K134" s="54"/>
      <c r="L134" s="54"/>
      <c r="M134" s="54"/>
      <c r="N134" s="54"/>
      <c r="O134" s="54"/>
      <c r="P134" s="54"/>
      <c r="Q134" s="54"/>
      <c r="R134" s="54"/>
      <c r="S134" s="54"/>
    </row>
    <row r="135" spans="1:19" ht="15" customHeight="1" x14ac:dyDescent="0.3">
      <c r="A135" s="18">
        <v>133</v>
      </c>
      <c r="B135" s="18">
        <v>152</v>
      </c>
      <c r="C135" s="15" t="s">
        <v>319</v>
      </c>
      <c r="D135" s="15" t="s">
        <v>301</v>
      </c>
      <c r="E135" s="17">
        <v>2155103</v>
      </c>
      <c r="F135" s="59">
        <v>7.4999999999999997E-2</v>
      </c>
      <c r="G135" s="17">
        <v>114220438</v>
      </c>
      <c r="H135" s="18">
        <v>29</v>
      </c>
      <c r="I135" s="17">
        <v>10318464</v>
      </c>
      <c r="J135" s="59">
        <v>-0.04</v>
      </c>
      <c r="K135" s="54"/>
      <c r="L135" s="54"/>
      <c r="M135" s="54"/>
      <c r="N135" s="54"/>
      <c r="O135" s="54"/>
      <c r="P135" s="54"/>
      <c r="Q135" s="54"/>
      <c r="R135" s="54"/>
      <c r="S135" s="54"/>
    </row>
    <row r="136" spans="1:19" ht="15" customHeight="1" x14ac:dyDescent="0.3">
      <c r="A136" s="19">
        <v>134</v>
      </c>
      <c r="B136" s="19">
        <v>132</v>
      </c>
      <c r="C136" s="9" t="s">
        <v>320</v>
      </c>
      <c r="D136" s="9" t="s">
        <v>301</v>
      </c>
      <c r="E136" s="11">
        <v>2153098</v>
      </c>
      <c r="F136" s="61">
        <v>3.0000000000000001E-3</v>
      </c>
      <c r="G136" s="11">
        <v>114114214</v>
      </c>
      <c r="H136" s="19">
        <v>30</v>
      </c>
      <c r="I136" s="11">
        <v>10799620</v>
      </c>
      <c r="J136" s="61">
        <v>0.35</v>
      </c>
      <c r="K136" s="54"/>
      <c r="L136" s="54"/>
      <c r="M136" s="54"/>
      <c r="N136" s="54"/>
      <c r="O136" s="54"/>
      <c r="P136" s="54"/>
      <c r="Q136" s="54"/>
      <c r="R136" s="54"/>
      <c r="S136" s="54"/>
    </row>
    <row r="137" spans="1:19" ht="15" customHeight="1" x14ac:dyDescent="0.3">
      <c r="A137" s="18">
        <v>135</v>
      </c>
      <c r="B137" s="18">
        <v>134</v>
      </c>
      <c r="C137" s="15" t="s">
        <v>321</v>
      </c>
      <c r="D137" s="15" t="s">
        <v>301</v>
      </c>
      <c r="E137" s="17">
        <v>2138436</v>
      </c>
      <c r="F137" s="59">
        <v>3.0000000000000001E-3</v>
      </c>
      <c r="G137" s="17">
        <v>113337103</v>
      </c>
      <c r="H137" s="18">
        <v>31</v>
      </c>
      <c r="I137" s="17">
        <v>10756408</v>
      </c>
      <c r="J137" s="59">
        <v>0.11</v>
      </c>
      <c r="K137" s="54"/>
      <c r="L137" s="54"/>
      <c r="M137" s="54"/>
      <c r="N137" s="54"/>
      <c r="O137" s="54"/>
      <c r="P137" s="54"/>
      <c r="Q137" s="54"/>
      <c r="R137" s="54"/>
      <c r="S137" s="54"/>
    </row>
    <row r="138" spans="1:19" ht="15" customHeight="1" x14ac:dyDescent="0.3">
      <c r="A138" s="19">
        <v>136</v>
      </c>
      <c r="B138" s="19">
        <v>141</v>
      </c>
      <c r="C138" s="9" t="s">
        <v>322</v>
      </c>
      <c r="D138" s="9" t="s">
        <v>183</v>
      </c>
      <c r="E138" s="11">
        <v>2113136</v>
      </c>
      <c r="F138" s="61">
        <v>8.9999999999999993E-3</v>
      </c>
      <c r="G138" s="11">
        <v>52828406</v>
      </c>
      <c r="H138" s="19">
        <v>150</v>
      </c>
      <c r="I138" s="11">
        <v>0</v>
      </c>
      <c r="J138" s="61">
        <v>0</v>
      </c>
      <c r="K138" s="54"/>
      <c r="L138" s="54"/>
      <c r="M138" s="54"/>
      <c r="N138" s="54"/>
      <c r="O138" s="54"/>
      <c r="P138" s="54"/>
      <c r="Q138" s="54"/>
      <c r="R138" s="54"/>
      <c r="S138" s="54"/>
    </row>
    <row r="139" spans="1:19" ht="15" customHeight="1" x14ac:dyDescent="0.3">
      <c r="A139" s="18">
        <v>137</v>
      </c>
      <c r="B139" s="18">
        <v>142</v>
      </c>
      <c r="C139" s="15" t="s">
        <v>323</v>
      </c>
      <c r="D139" s="15" t="s">
        <v>301</v>
      </c>
      <c r="E139" s="17">
        <v>2095226</v>
      </c>
      <c r="F139" s="59">
        <v>0.01</v>
      </c>
      <c r="G139" s="17">
        <v>111046989</v>
      </c>
      <c r="H139" s="18">
        <v>34</v>
      </c>
      <c r="I139" s="17">
        <v>11575980</v>
      </c>
      <c r="J139" s="59">
        <v>0.01</v>
      </c>
      <c r="K139" s="54"/>
      <c r="L139" s="54"/>
      <c r="M139" s="54"/>
      <c r="N139" s="54"/>
      <c r="O139" s="54"/>
      <c r="P139" s="54"/>
      <c r="Q139" s="54"/>
      <c r="R139" s="54"/>
      <c r="S139" s="54"/>
    </row>
    <row r="140" spans="1:19" ht="15" customHeight="1" x14ac:dyDescent="0.3">
      <c r="A140" s="19">
        <v>138</v>
      </c>
      <c r="B140" s="19">
        <v>157</v>
      </c>
      <c r="C140" s="9" t="s">
        <v>324</v>
      </c>
      <c r="D140" s="9" t="s">
        <v>301</v>
      </c>
      <c r="E140" s="11">
        <v>2090424</v>
      </c>
      <c r="F140" s="61">
        <v>0.09</v>
      </c>
      <c r="G140" s="11">
        <v>110792462</v>
      </c>
      <c r="H140" s="19">
        <v>35</v>
      </c>
      <c r="I140" s="11">
        <v>9324224</v>
      </c>
      <c r="J140" s="61">
        <v>0.18</v>
      </c>
      <c r="K140" s="54"/>
      <c r="L140" s="54"/>
      <c r="M140" s="54"/>
      <c r="N140" s="54"/>
      <c r="O140" s="54"/>
      <c r="P140" s="54"/>
      <c r="Q140" s="54"/>
      <c r="R140" s="54"/>
      <c r="S140" s="54"/>
    </row>
    <row r="141" spans="1:19" ht="15" customHeight="1" x14ac:dyDescent="0.3">
      <c r="A141" s="18">
        <v>139</v>
      </c>
      <c r="B141" s="18">
        <v>116</v>
      </c>
      <c r="C141" s="15" t="s">
        <v>325</v>
      </c>
      <c r="D141" s="15" t="s">
        <v>301</v>
      </c>
      <c r="E141" s="17">
        <v>2089848</v>
      </c>
      <c r="F141" s="59">
        <v>-8.3000000000000004E-2</v>
      </c>
      <c r="G141" s="17">
        <v>110761966</v>
      </c>
      <c r="H141" s="18">
        <v>36</v>
      </c>
      <c r="I141" s="17">
        <v>10864984</v>
      </c>
      <c r="J141" s="59">
        <v>0.12</v>
      </c>
      <c r="K141" s="54"/>
      <c r="L141" s="54"/>
      <c r="M141" s="54"/>
      <c r="N141" s="54"/>
      <c r="O141" s="54"/>
      <c r="P141" s="54"/>
      <c r="Q141" s="54"/>
      <c r="R141" s="54"/>
      <c r="S141" s="54"/>
    </row>
    <row r="142" spans="1:19" ht="15" customHeight="1" x14ac:dyDescent="0.3">
      <c r="A142" s="19">
        <v>140</v>
      </c>
      <c r="B142" s="19">
        <v>106</v>
      </c>
      <c r="C142" s="9" t="s">
        <v>326</v>
      </c>
      <c r="D142" s="9" t="s">
        <v>301</v>
      </c>
      <c r="E142" s="11">
        <v>2083685</v>
      </c>
      <c r="F142" s="61">
        <v>-0.128</v>
      </c>
      <c r="G142" s="11">
        <v>110435293</v>
      </c>
      <c r="H142" s="19">
        <v>37</v>
      </c>
      <c r="I142" s="11">
        <v>11020516</v>
      </c>
      <c r="J142" s="61">
        <v>0</v>
      </c>
      <c r="K142" s="54"/>
      <c r="L142" s="54"/>
      <c r="M142" s="54"/>
      <c r="N142" s="54"/>
      <c r="O142" s="54"/>
      <c r="P142" s="54"/>
      <c r="Q142" s="54"/>
      <c r="R142" s="54"/>
      <c r="S142" s="54"/>
    </row>
    <row r="143" spans="1:19" ht="15" customHeight="1" x14ac:dyDescent="0.3">
      <c r="A143" s="18">
        <v>141</v>
      </c>
      <c r="B143" s="18">
        <v>175</v>
      </c>
      <c r="C143" s="15" t="s">
        <v>327</v>
      </c>
      <c r="D143" s="15" t="s">
        <v>178</v>
      </c>
      <c r="E143" s="17">
        <v>2063147</v>
      </c>
      <c r="F143" s="59">
        <v>0.32700000000000001</v>
      </c>
      <c r="G143" s="17">
        <v>51578685</v>
      </c>
      <c r="H143" s="18">
        <v>151</v>
      </c>
      <c r="I143" s="17">
        <v>0</v>
      </c>
      <c r="J143" s="59">
        <v>0</v>
      </c>
      <c r="K143" s="54"/>
      <c r="L143" s="54"/>
      <c r="M143" s="54"/>
      <c r="N143" s="54"/>
      <c r="O143" s="54"/>
      <c r="P143" s="54"/>
      <c r="Q143" s="54"/>
      <c r="R143" s="54"/>
      <c r="S143" s="54"/>
    </row>
    <row r="144" spans="1:19" ht="15" customHeight="1" x14ac:dyDescent="0.3">
      <c r="A144" s="19">
        <v>142</v>
      </c>
      <c r="B144" s="19">
        <v>154</v>
      </c>
      <c r="C144" s="9" t="s">
        <v>328</v>
      </c>
      <c r="D144" s="9" t="s">
        <v>301</v>
      </c>
      <c r="E144" s="11">
        <v>2056137</v>
      </c>
      <c r="F144" s="61">
        <v>3.6999999999999998E-2</v>
      </c>
      <c r="G144" s="11">
        <v>108975238</v>
      </c>
      <c r="H144" s="19">
        <v>38</v>
      </c>
      <c r="I144" s="11">
        <v>10415444</v>
      </c>
      <c r="J144" s="61">
        <v>0.19</v>
      </c>
      <c r="K144" s="54"/>
      <c r="L144" s="54"/>
      <c r="M144" s="54"/>
      <c r="N144" s="54"/>
      <c r="O144" s="54"/>
      <c r="P144" s="54"/>
      <c r="Q144" s="54"/>
      <c r="R144" s="54"/>
      <c r="S144" s="54"/>
    </row>
    <row r="145" spans="1:19" ht="15" customHeight="1" x14ac:dyDescent="0.3">
      <c r="A145" s="18">
        <v>143</v>
      </c>
      <c r="B145" s="18">
        <v>176</v>
      </c>
      <c r="C145" s="15" t="s">
        <v>329</v>
      </c>
      <c r="D145" s="15" t="s">
        <v>301</v>
      </c>
      <c r="E145" s="17">
        <v>2043495</v>
      </c>
      <c r="F145" s="59">
        <v>0.32600000000000001</v>
      </c>
      <c r="G145" s="17">
        <v>108305221</v>
      </c>
      <c r="H145" s="18">
        <v>39</v>
      </c>
      <c r="I145" s="17">
        <v>9814688</v>
      </c>
      <c r="J145" s="59">
        <v>0.27</v>
      </c>
      <c r="K145" s="54"/>
      <c r="L145" s="54"/>
      <c r="M145" s="54"/>
      <c r="N145" s="54"/>
      <c r="O145" s="54"/>
      <c r="P145" s="54"/>
      <c r="Q145" s="54"/>
      <c r="R145" s="54"/>
      <c r="S145" s="54"/>
    </row>
    <row r="146" spans="1:19" ht="15" customHeight="1" x14ac:dyDescent="0.3">
      <c r="A146" s="19">
        <v>144</v>
      </c>
      <c r="B146" s="19">
        <v>74</v>
      </c>
      <c r="C146" s="9" t="s">
        <v>330</v>
      </c>
      <c r="D146" s="9" t="s">
        <v>260</v>
      </c>
      <c r="E146" s="11">
        <v>2033000</v>
      </c>
      <c r="F146" s="61">
        <v>-0.28000000000000003</v>
      </c>
      <c r="G146" s="11">
        <v>54891000</v>
      </c>
      <c r="H146" s="19">
        <v>144</v>
      </c>
      <c r="I146" s="11">
        <v>12128740</v>
      </c>
      <c r="J146" s="61">
        <v>-0.18</v>
      </c>
      <c r="K146" s="54"/>
      <c r="L146" s="54"/>
      <c r="M146" s="54"/>
      <c r="N146" s="54"/>
      <c r="O146" s="54"/>
      <c r="P146" s="54"/>
      <c r="Q146" s="54"/>
      <c r="R146" s="54"/>
      <c r="S146" s="54"/>
    </row>
    <row r="147" spans="1:19" ht="15" customHeight="1" x14ac:dyDescent="0.3">
      <c r="A147" s="18">
        <v>145</v>
      </c>
      <c r="B147" s="18">
        <v>119</v>
      </c>
      <c r="C147" s="15" t="s">
        <v>331</v>
      </c>
      <c r="D147" s="15" t="s">
        <v>301</v>
      </c>
      <c r="E147" s="17">
        <v>2032390</v>
      </c>
      <c r="F147" s="59">
        <v>-9.1999999999999998E-2</v>
      </c>
      <c r="G147" s="17">
        <v>107716659</v>
      </c>
      <c r="H147" s="18">
        <v>41</v>
      </c>
      <c r="I147" s="17">
        <v>9632480</v>
      </c>
      <c r="J147" s="59">
        <v>0.13</v>
      </c>
      <c r="K147" s="54"/>
      <c r="L147" s="54"/>
      <c r="M147" s="54"/>
      <c r="N147" s="54"/>
      <c r="O147" s="54"/>
      <c r="P147" s="54"/>
      <c r="Q147" s="54"/>
      <c r="R147" s="54"/>
      <c r="S147" s="54"/>
    </row>
    <row r="148" spans="1:19" ht="15" customHeight="1" x14ac:dyDescent="0.3">
      <c r="A148" s="19">
        <v>146</v>
      </c>
      <c r="B148" s="19">
        <v>158</v>
      </c>
      <c r="C148" s="9" t="s">
        <v>332</v>
      </c>
      <c r="D148" s="9" t="s">
        <v>301</v>
      </c>
      <c r="E148" s="11">
        <v>2029308</v>
      </c>
      <c r="F148" s="61">
        <v>6.9000000000000006E-2</v>
      </c>
      <c r="G148" s="11">
        <v>107553299</v>
      </c>
      <c r="H148" s="19">
        <v>42</v>
      </c>
      <c r="I148" s="11">
        <v>10378004</v>
      </c>
      <c r="J148" s="61">
        <v>0.04</v>
      </c>
      <c r="K148" s="54"/>
      <c r="L148" s="54"/>
      <c r="M148" s="54"/>
      <c r="N148" s="54"/>
      <c r="O148" s="54"/>
      <c r="P148" s="54"/>
      <c r="Q148" s="54"/>
      <c r="R148" s="54"/>
      <c r="S148" s="54"/>
    </row>
    <row r="149" spans="1:19" ht="15" customHeight="1" x14ac:dyDescent="0.3">
      <c r="A149" s="18">
        <v>147</v>
      </c>
      <c r="B149" s="18" t="s">
        <v>282</v>
      </c>
      <c r="C149" s="15" t="s">
        <v>333</v>
      </c>
      <c r="D149" s="15" t="s">
        <v>178</v>
      </c>
      <c r="E149" s="17">
        <v>2021930</v>
      </c>
      <c r="F149" s="59">
        <v>0</v>
      </c>
      <c r="G149" s="17">
        <v>50548252</v>
      </c>
      <c r="H149" s="18">
        <v>152</v>
      </c>
      <c r="I149" s="17">
        <v>0</v>
      </c>
      <c r="J149" s="59">
        <v>0</v>
      </c>
      <c r="K149" s="54"/>
      <c r="L149" s="54"/>
      <c r="M149" s="54"/>
      <c r="N149" s="54"/>
      <c r="O149" s="54"/>
      <c r="P149" s="54"/>
      <c r="Q149" s="54"/>
      <c r="R149" s="54"/>
      <c r="S149" s="54"/>
    </row>
    <row r="150" spans="1:19" ht="15" customHeight="1" x14ac:dyDescent="0.3">
      <c r="A150" s="19">
        <v>148</v>
      </c>
      <c r="B150" s="19">
        <v>150</v>
      </c>
      <c r="C150" s="9" t="s">
        <v>334</v>
      </c>
      <c r="D150" s="9" t="s">
        <v>301</v>
      </c>
      <c r="E150" s="11">
        <v>1987919</v>
      </c>
      <c r="F150" s="61">
        <v>-1.0999999999999999E-2</v>
      </c>
      <c r="G150" s="11">
        <v>105359681</v>
      </c>
      <c r="H150" s="19">
        <v>43</v>
      </c>
      <c r="I150" s="11">
        <v>10261524</v>
      </c>
      <c r="J150" s="61">
        <v>0</v>
      </c>
      <c r="K150" s="54"/>
      <c r="L150" s="54"/>
      <c r="M150" s="54"/>
      <c r="N150" s="54"/>
      <c r="O150" s="54"/>
      <c r="P150" s="54"/>
      <c r="Q150" s="54"/>
      <c r="R150" s="54"/>
      <c r="S150" s="54"/>
    </row>
    <row r="151" spans="1:19" ht="15" customHeight="1" x14ac:dyDescent="0.3">
      <c r="A151" s="18">
        <v>149</v>
      </c>
      <c r="B151" s="18">
        <v>161</v>
      </c>
      <c r="C151" s="15" t="s">
        <v>335</v>
      </c>
      <c r="D151" s="15" t="s">
        <v>301</v>
      </c>
      <c r="E151" s="17">
        <v>1946943</v>
      </c>
      <c r="F151" s="59">
        <v>5.1999999999999998E-2</v>
      </c>
      <c r="G151" s="17">
        <v>103187963</v>
      </c>
      <c r="H151" s="18">
        <v>46</v>
      </c>
      <c r="I151" s="17">
        <v>9308468</v>
      </c>
      <c r="J151" s="59">
        <v>0.3</v>
      </c>
      <c r="K151" s="54"/>
      <c r="L151" s="54"/>
      <c r="M151" s="54"/>
      <c r="N151" s="54"/>
      <c r="O151" s="54"/>
      <c r="P151" s="54"/>
      <c r="Q151" s="54"/>
      <c r="R151" s="54"/>
      <c r="S151" s="54"/>
    </row>
    <row r="152" spans="1:19" ht="15" customHeight="1" x14ac:dyDescent="0.3">
      <c r="A152" s="19">
        <v>150</v>
      </c>
      <c r="B152" s="19">
        <v>109</v>
      </c>
      <c r="C152" s="9" t="s">
        <v>336</v>
      </c>
      <c r="D152" s="9" t="s">
        <v>301</v>
      </c>
      <c r="E152" s="11">
        <v>1939243</v>
      </c>
      <c r="F152" s="61">
        <v>-0.182</v>
      </c>
      <c r="G152" s="11">
        <v>102779899</v>
      </c>
      <c r="H152" s="19">
        <v>47</v>
      </c>
      <c r="I152" s="11">
        <v>10763740</v>
      </c>
      <c r="J152" s="61">
        <v>0.23</v>
      </c>
      <c r="K152" s="54"/>
      <c r="L152" s="54"/>
      <c r="M152" s="54"/>
      <c r="N152" s="54"/>
      <c r="O152" s="54"/>
      <c r="P152" s="54"/>
      <c r="Q152" s="54"/>
      <c r="R152" s="54"/>
      <c r="S152" s="54"/>
    </row>
    <row r="153" spans="1:19" ht="15" customHeight="1" x14ac:dyDescent="0.3">
      <c r="A153" s="18">
        <v>151</v>
      </c>
      <c r="B153" s="18">
        <v>165</v>
      </c>
      <c r="C153" s="15" t="s">
        <v>337</v>
      </c>
      <c r="D153" s="15" t="s">
        <v>200</v>
      </c>
      <c r="E153" s="17">
        <v>1939105</v>
      </c>
      <c r="F153" s="59">
        <v>5.7000000000000002E-2</v>
      </c>
      <c r="G153" s="17">
        <v>50416720</v>
      </c>
      <c r="H153" s="18">
        <v>153</v>
      </c>
      <c r="I153" s="17">
        <v>8546408</v>
      </c>
      <c r="J153" s="59">
        <v>0.02</v>
      </c>
      <c r="K153" s="54"/>
      <c r="L153" s="54"/>
      <c r="M153" s="54"/>
      <c r="N153" s="54"/>
      <c r="O153" s="54"/>
      <c r="P153" s="54"/>
      <c r="Q153" s="54"/>
      <c r="R153" s="54"/>
      <c r="S153" s="54"/>
    </row>
    <row r="154" spans="1:19" ht="15" customHeight="1" x14ac:dyDescent="0.3">
      <c r="A154" s="19">
        <v>152</v>
      </c>
      <c r="B154" s="19">
        <v>138</v>
      </c>
      <c r="C154" s="9" t="s">
        <v>338</v>
      </c>
      <c r="D154" s="9" t="s">
        <v>301</v>
      </c>
      <c r="E154" s="11">
        <v>1932871</v>
      </c>
      <c r="F154" s="61">
        <v>-8.5000000000000006E-2</v>
      </c>
      <c r="G154" s="11">
        <v>102442174</v>
      </c>
      <c r="H154" s="19">
        <v>49</v>
      </c>
      <c r="I154" s="11">
        <v>10239164</v>
      </c>
      <c r="J154" s="61">
        <v>0.3</v>
      </c>
      <c r="K154" s="54"/>
      <c r="L154" s="54"/>
      <c r="M154" s="54"/>
      <c r="N154" s="54"/>
      <c r="O154" s="54"/>
      <c r="P154" s="54"/>
      <c r="Q154" s="54"/>
      <c r="R154" s="54"/>
      <c r="S154" s="54"/>
    </row>
    <row r="155" spans="1:19" ht="15" customHeight="1" x14ac:dyDescent="0.3">
      <c r="A155" s="18">
        <v>153</v>
      </c>
      <c r="B155" s="18">
        <v>174</v>
      </c>
      <c r="C155" s="15" t="s">
        <v>339</v>
      </c>
      <c r="D155" s="15" t="s">
        <v>178</v>
      </c>
      <c r="E155" s="17">
        <v>1930169</v>
      </c>
      <c r="F155" s="59">
        <v>0.22800000000000001</v>
      </c>
      <c r="G155" s="17">
        <v>48254220</v>
      </c>
      <c r="H155" s="18">
        <v>155</v>
      </c>
      <c r="I155" s="17">
        <v>0</v>
      </c>
      <c r="J155" s="59">
        <v>0</v>
      </c>
      <c r="K155" s="54"/>
      <c r="L155" s="54"/>
      <c r="M155" s="54"/>
      <c r="N155" s="54"/>
      <c r="O155" s="54"/>
      <c r="P155" s="54"/>
      <c r="Q155" s="54"/>
      <c r="R155" s="54"/>
      <c r="S155" s="54"/>
    </row>
    <row r="156" spans="1:19" ht="15" customHeight="1" x14ac:dyDescent="0.3">
      <c r="A156" s="19">
        <v>154</v>
      </c>
      <c r="B156" s="19">
        <v>114</v>
      </c>
      <c r="C156" s="9" t="s">
        <v>340</v>
      </c>
      <c r="D156" s="9" t="s">
        <v>301</v>
      </c>
      <c r="E156" s="11">
        <v>1928775</v>
      </c>
      <c r="F156" s="61">
        <v>-0.161</v>
      </c>
      <c r="G156" s="11">
        <v>102225091</v>
      </c>
      <c r="H156" s="19">
        <v>50</v>
      </c>
      <c r="I156" s="11">
        <v>10147280</v>
      </c>
      <c r="J156" s="61">
        <v>0.2</v>
      </c>
      <c r="K156" s="54"/>
      <c r="L156" s="54"/>
      <c r="M156" s="54"/>
      <c r="N156" s="54"/>
      <c r="O156" s="54"/>
      <c r="P156" s="54"/>
      <c r="Q156" s="54"/>
      <c r="R156" s="54"/>
      <c r="S156" s="54"/>
    </row>
    <row r="157" spans="1:19" ht="15" customHeight="1" x14ac:dyDescent="0.3">
      <c r="A157" s="18">
        <v>155</v>
      </c>
      <c r="B157" s="18" t="s">
        <v>282</v>
      </c>
      <c r="C157" s="15" t="s">
        <v>341</v>
      </c>
      <c r="D157" s="15" t="s">
        <v>178</v>
      </c>
      <c r="E157" s="17">
        <v>1893656</v>
      </c>
      <c r="F157" s="59">
        <v>0</v>
      </c>
      <c r="G157" s="17">
        <v>47341388</v>
      </c>
      <c r="H157" s="18">
        <v>158</v>
      </c>
      <c r="I157" s="17">
        <v>0</v>
      </c>
      <c r="J157" s="59">
        <v>0</v>
      </c>
      <c r="K157" s="54"/>
      <c r="L157" s="54"/>
      <c r="M157" s="54"/>
      <c r="N157" s="54"/>
      <c r="O157" s="54"/>
      <c r="P157" s="54"/>
      <c r="Q157" s="54"/>
      <c r="R157" s="54"/>
      <c r="S157" s="54"/>
    </row>
    <row r="158" spans="1:19" ht="15" customHeight="1" x14ac:dyDescent="0.3">
      <c r="A158" s="19">
        <v>156</v>
      </c>
      <c r="B158" s="19">
        <v>156</v>
      </c>
      <c r="C158" s="9" t="s">
        <v>342</v>
      </c>
      <c r="D158" s="9" t="s">
        <v>301</v>
      </c>
      <c r="E158" s="11">
        <v>1875631</v>
      </c>
      <c r="F158" s="61">
        <v>-3.4000000000000002E-2</v>
      </c>
      <c r="G158" s="11">
        <v>99408451</v>
      </c>
      <c r="H158" s="19">
        <v>55</v>
      </c>
      <c r="I158" s="11">
        <v>11786164</v>
      </c>
      <c r="J158" s="61">
        <v>-0.32</v>
      </c>
      <c r="K158" s="54"/>
      <c r="L158" s="54"/>
      <c r="M158" s="54"/>
      <c r="N158" s="54"/>
      <c r="O158" s="54"/>
      <c r="P158" s="54"/>
      <c r="Q158" s="54"/>
      <c r="R158" s="54"/>
      <c r="S158" s="54"/>
    </row>
    <row r="159" spans="1:19" ht="15" customHeight="1" x14ac:dyDescent="0.3">
      <c r="A159" s="18">
        <v>157</v>
      </c>
      <c r="B159" s="18">
        <v>123</v>
      </c>
      <c r="C159" s="15" t="s">
        <v>343</v>
      </c>
      <c r="D159" s="15" t="s">
        <v>260</v>
      </c>
      <c r="E159" s="17">
        <v>1850206</v>
      </c>
      <c r="F159" s="59">
        <v>-0.16200000000000001</v>
      </c>
      <c r="G159" s="17">
        <v>48105357</v>
      </c>
      <c r="H159" s="18">
        <v>156</v>
      </c>
      <c r="I159" s="17">
        <v>10283156</v>
      </c>
      <c r="J159" s="59">
        <v>-0.13</v>
      </c>
      <c r="K159" s="54"/>
      <c r="L159" s="54"/>
      <c r="M159" s="54"/>
      <c r="N159" s="54"/>
      <c r="O159" s="54"/>
      <c r="P159" s="54"/>
      <c r="Q159" s="54"/>
      <c r="R159" s="54"/>
      <c r="S159" s="54"/>
    </row>
    <row r="160" spans="1:19" ht="15" customHeight="1" x14ac:dyDescent="0.3">
      <c r="A160" s="19">
        <v>158</v>
      </c>
      <c r="B160" s="19">
        <v>140</v>
      </c>
      <c r="C160" s="9" t="s">
        <v>344</v>
      </c>
      <c r="D160" s="9" t="s">
        <v>301</v>
      </c>
      <c r="E160" s="11">
        <v>1842903</v>
      </c>
      <c r="F160" s="61">
        <v>-0.11600000000000001</v>
      </c>
      <c r="G160" s="11">
        <v>97673836</v>
      </c>
      <c r="H160" s="19">
        <v>57</v>
      </c>
      <c r="I160" s="11">
        <v>10619232</v>
      </c>
      <c r="J160" s="61">
        <v>-0.05</v>
      </c>
      <c r="K160" s="54"/>
      <c r="L160" s="54"/>
      <c r="M160" s="54"/>
      <c r="N160" s="54"/>
      <c r="O160" s="54"/>
      <c r="P160" s="54"/>
      <c r="Q160" s="54"/>
      <c r="R160" s="54"/>
      <c r="S160" s="54"/>
    </row>
    <row r="161" spans="1:19" ht="15" customHeight="1" x14ac:dyDescent="0.3">
      <c r="A161" s="18">
        <v>159</v>
      </c>
      <c r="B161" s="18">
        <v>108</v>
      </c>
      <c r="C161" s="15" t="s">
        <v>345</v>
      </c>
      <c r="D161" s="15" t="s">
        <v>301</v>
      </c>
      <c r="E161" s="17">
        <v>1810373</v>
      </c>
      <c r="F161" s="59">
        <v>-0.23799999999999999</v>
      </c>
      <c r="G161" s="17">
        <v>95949754</v>
      </c>
      <c r="H161" s="18">
        <v>58</v>
      </c>
      <c r="I161" s="17">
        <v>10934508</v>
      </c>
      <c r="J161" s="59">
        <v>-0.1</v>
      </c>
      <c r="K161" s="54"/>
      <c r="L161" s="54"/>
      <c r="M161" s="54"/>
      <c r="N161" s="54"/>
      <c r="O161" s="54"/>
      <c r="P161" s="54"/>
      <c r="Q161" s="54"/>
      <c r="R161" s="54"/>
      <c r="S161" s="54"/>
    </row>
    <row r="162" spans="1:19" ht="15" customHeight="1" x14ac:dyDescent="0.3">
      <c r="A162" s="19">
        <v>160</v>
      </c>
      <c r="B162" s="19">
        <v>151</v>
      </c>
      <c r="C162" s="9" t="s">
        <v>346</v>
      </c>
      <c r="D162" s="9" t="s">
        <v>301</v>
      </c>
      <c r="E162" s="11">
        <v>1801940</v>
      </c>
      <c r="F162" s="61">
        <v>-0.10199999999999999</v>
      </c>
      <c r="G162" s="11">
        <v>95502828</v>
      </c>
      <c r="H162" s="19">
        <v>59</v>
      </c>
      <c r="I162" s="11">
        <v>9919884</v>
      </c>
      <c r="J162" s="61">
        <v>-0.09</v>
      </c>
      <c r="K162" s="54"/>
      <c r="L162" s="54"/>
      <c r="M162" s="54"/>
      <c r="N162" s="54"/>
      <c r="O162" s="54"/>
      <c r="P162" s="54"/>
      <c r="Q162" s="54"/>
      <c r="R162" s="54"/>
      <c r="S162" s="54"/>
    </row>
    <row r="163" spans="1:19" ht="15" customHeight="1" x14ac:dyDescent="0.3">
      <c r="A163" s="18">
        <v>161</v>
      </c>
      <c r="B163" s="18" t="s">
        <v>282</v>
      </c>
      <c r="C163" s="15" t="s">
        <v>347</v>
      </c>
      <c r="D163" s="15" t="s">
        <v>188</v>
      </c>
      <c r="E163" s="17">
        <v>1787974</v>
      </c>
      <c r="F163" s="59">
        <v>0</v>
      </c>
      <c r="G163" s="17">
        <v>44699360</v>
      </c>
      <c r="H163" s="18">
        <v>161</v>
      </c>
      <c r="I163" s="17">
        <v>0</v>
      </c>
      <c r="J163" s="59">
        <v>0</v>
      </c>
      <c r="K163" s="54"/>
      <c r="L163" s="54"/>
      <c r="M163" s="54"/>
      <c r="N163" s="54"/>
      <c r="O163" s="54"/>
      <c r="P163" s="54"/>
      <c r="Q163" s="54"/>
      <c r="R163" s="54"/>
      <c r="S163" s="54"/>
    </row>
    <row r="164" spans="1:19" ht="15" customHeight="1" x14ac:dyDescent="0.3">
      <c r="A164" s="19">
        <v>162</v>
      </c>
      <c r="B164" s="19">
        <v>144</v>
      </c>
      <c r="C164" s="9" t="s">
        <v>348</v>
      </c>
      <c r="D164" s="9" t="s">
        <v>301</v>
      </c>
      <c r="E164" s="11">
        <v>1784230</v>
      </c>
      <c r="F164" s="61">
        <v>-0.13500000000000001</v>
      </c>
      <c r="G164" s="11">
        <v>94564171</v>
      </c>
      <c r="H164" s="19">
        <v>60</v>
      </c>
      <c r="I164" s="11">
        <v>10437700</v>
      </c>
      <c r="J164" s="61">
        <v>-0.19</v>
      </c>
      <c r="K164" s="54"/>
      <c r="L164" s="54"/>
      <c r="M164" s="54"/>
      <c r="N164" s="54"/>
      <c r="O164" s="54"/>
      <c r="P164" s="54"/>
      <c r="Q164" s="54"/>
      <c r="R164" s="54"/>
      <c r="S164" s="54"/>
    </row>
    <row r="165" spans="1:19" ht="15" customHeight="1" x14ac:dyDescent="0.3">
      <c r="A165" s="18">
        <v>163</v>
      </c>
      <c r="B165" s="18">
        <v>146</v>
      </c>
      <c r="C165" s="15" t="s">
        <v>349</v>
      </c>
      <c r="D165" s="15" t="s">
        <v>301</v>
      </c>
      <c r="E165" s="17">
        <v>1768309</v>
      </c>
      <c r="F165" s="59">
        <v>-0.13100000000000001</v>
      </c>
      <c r="G165" s="17">
        <v>93720356</v>
      </c>
      <c r="H165" s="18">
        <v>61</v>
      </c>
      <c r="I165" s="17">
        <v>10345088</v>
      </c>
      <c r="J165" s="59">
        <v>-7.0000000000000007E-2</v>
      </c>
      <c r="K165" s="54"/>
      <c r="L165" s="54"/>
      <c r="M165" s="54"/>
      <c r="N165" s="54"/>
      <c r="O165" s="54"/>
      <c r="P165" s="54"/>
      <c r="Q165" s="54"/>
      <c r="R165" s="54"/>
      <c r="S165" s="54"/>
    </row>
    <row r="166" spans="1:19" ht="15" customHeight="1" x14ac:dyDescent="0.3">
      <c r="A166" s="19">
        <v>164</v>
      </c>
      <c r="B166" s="19">
        <v>163</v>
      </c>
      <c r="C166" s="9" t="s">
        <v>350</v>
      </c>
      <c r="D166" s="9" t="s">
        <v>183</v>
      </c>
      <c r="E166" s="11">
        <v>1760947</v>
      </c>
      <c r="F166" s="61">
        <v>-4.2999999999999997E-2</v>
      </c>
      <c r="G166" s="11">
        <v>44023672</v>
      </c>
      <c r="H166" s="19">
        <v>162</v>
      </c>
      <c r="I166" s="11">
        <v>0</v>
      </c>
      <c r="J166" s="61">
        <v>0</v>
      </c>
      <c r="K166" s="54"/>
      <c r="L166" s="54"/>
      <c r="M166" s="54"/>
      <c r="N166" s="54"/>
      <c r="O166" s="54"/>
      <c r="P166" s="54"/>
      <c r="Q166" s="54"/>
      <c r="R166" s="54"/>
      <c r="S166" s="54"/>
    </row>
    <row r="167" spans="1:19" ht="15" customHeight="1" x14ac:dyDescent="0.3">
      <c r="A167" s="18">
        <v>165</v>
      </c>
      <c r="B167" s="18">
        <v>160</v>
      </c>
      <c r="C167" s="15" t="s">
        <v>351</v>
      </c>
      <c r="D167" s="15" t="s">
        <v>260</v>
      </c>
      <c r="E167" s="17">
        <v>1755500</v>
      </c>
      <c r="F167" s="59">
        <v>-6.2E-2</v>
      </c>
      <c r="G167" s="17">
        <v>43887500</v>
      </c>
      <c r="H167" s="18">
        <v>163</v>
      </c>
      <c r="I167" s="17">
        <v>7706712</v>
      </c>
      <c r="J167" s="59">
        <v>0.26</v>
      </c>
      <c r="K167" s="54"/>
      <c r="L167" s="54"/>
      <c r="M167" s="54"/>
      <c r="N167" s="54"/>
      <c r="O167" s="54"/>
      <c r="P167" s="54"/>
      <c r="Q167" s="54"/>
      <c r="R167" s="54"/>
      <c r="S167" s="54"/>
    </row>
    <row r="168" spans="1:19" ht="15" customHeight="1" x14ac:dyDescent="0.3">
      <c r="A168" s="19">
        <v>166</v>
      </c>
      <c r="B168" s="19">
        <v>168</v>
      </c>
      <c r="C168" s="9" t="s">
        <v>352</v>
      </c>
      <c r="D168" s="9" t="s">
        <v>178</v>
      </c>
      <c r="E168" s="11">
        <v>1754850</v>
      </c>
      <c r="F168" s="61">
        <v>2.8000000000000001E-2</v>
      </c>
      <c r="G168" s="11">
        <v>43871260</v>
      </c>
      <c r="H168" s="19">
        <v>164</v>
      </c>
      <c r="I168" s="11">
        <v>8810204</v>
      </c>
      <c r="J168" s="61">
        <v>0.06</v>
      </c>
      <c r="K168" s="54"/>
      <c r="L168" s="54"/>
      <c r="M168" s="54"/>
      <c r="N168" s="54"/>
      <c r="O168" s="54"/>
      <c r="P168" s="54"/>
      <c r="Q168" s="54"/>
      <c r="R168" s="54"/>
      <c r="S168" s="54"/>
    </row>
    <row r="169" spans="1:19" ht="15" customHeight="1" x14ac:dyDescent="0.3">
      <c r="A169" s="18">
        <v>167</v>
      </c>
      <c r="B169" s="18">
        <v>169</v>
      </c>
      <c r="C169" s="15" t="s">
        <v>353</v>
      </c>
      <c r="D169" s="15" t="s">
        <v>354</v>
      </c>
      <c r="E169" s="17">
        <v>1746198</v>
      </c>
      <c r="F169" s="59">
        <v>2.7E-2</v>
      </c>
      <c r="G169" s="17">
        <v>43654958</v>
      </c>
      <c r="H169" s="18">
        <v>165</v>
      </c>
      <c r="I169" s="17">
        <v>8201804</v>
      </c>
      <c r="J169" s="59">
        <v>0.26</v>
      </c>
      <c r="K169" s="54"/>
      <c r="L169" s="54"/>
      <c r="M169" s="54"/>
      <c r="N169" s="54"/>
      <c r="O169" s="54"/>
      <c r="P169" s="54"/>
      <c r="Q169" s="54"/>
      <c r="R169" s="54"/>
      <c r="S169" s="54"/>
    </row>
    <row r="170" spans="1:19" ht="15" customHeight="1" x14ac:dyDescent="0.3">
      <c r="A170" s="19">
        <v>168</v>
      </c>
      <c r="B170" s="19">
        <v>148</v>
      </c>
      <c r="C170" s="9" t="s">
        <v>355</v>
      </c>
      <c r="D170" s="9" t="s">
        <v>188</v>
      </c>
      <c r="E170" s="11">
        <v>1741196</v>
      </c>
      <c r="F170" s="61">
        <v>-0.14099999999999999</v>
      </c>
      <c r="G170" s="11">
        <v>43529900</v>
      </c>
      <c r="H170" s="19">
        <v>166</v>
      </c>
      <c r="I170" s="11">
        <v>0</v>
      </c>
      <c r="J170" s="61">
        <v>0</v>
      </c>
      <c r="K170" s="54"/>
      <c r="L170" s="54"/>
      <c r="M170" s="54"/>
      <c r="N170" s="54"/>
      <c r="O170" s="54"/>
      <c r="P170" s="54"/>
      <c r="Q170" s="54"/>
      <c r="R170" s="54"/>
      <c r="S170" s="54"/>
    </row>
    <row r="171" spans="1:19" ht="15" customHeight="1" x14ac:dyDescent="0.3">
      <c r="A171" s="18">
        <v>169</v>
      </c>
      <c r="B171" s="18">
        <v>179</v>
      </c>
      <c r="C171" s="15" t="s">
        <v>356</v>
      </c>
      <c r="D171" s="15" t="s">
        <v>188</v>
      </c>
      <c r="E171" s="17">
        <v>1724204</v>
      </c>
      <c r="F171" s="59">
        <v>0.16800000000000001</v>
      </c>
      <c r="G171" s="17">
        <v>44829300</v>
      </c>
      <c r="H171" s="18">
        <v>160</v>
      </c>
      <c r="I171" s="17">
        <v>0</v>
      </c>
      <c r="J171" s="59">
        <v>0</v>
      </c>
      <c r="K171" s="54"/>
      <c r="L171" s="54"/>
      <c r="M171" s="54"/>
      <c r="N171" s="54"/>
      <c r="O171" s="54"/>
      <c r="P171" s="54"/>
      <c r="Q171" s="54"/>
      <c r="R171" s="54"/>
      <c r="S171" s="54"/>
    </row>
    <row r="172" spans="1:19" ht="15" customHeight="1" x14ac:dyDescent="0.3">
      <c r="A172" s="19">
        <v>170</v>
      </c>
      <c r="B172" s="19">
        <v>94</v>
      </c>
      <c r="C172" s="9" t="s">
        <v>357</v>
      </c>
      <c r="D172" s="9" t="s">
        <v>207</v>
      </c>
      <c r="E172" s="11">
        <v>1716406</v>
      </c>
      <c r="F172" s="61">
        <v>-0.33100000000000002</v>
      </c>
      <c r="G172" s="11">
        <v>4225000</v>
      </c>
      <c r="H172" s="19">
        <v>268</v>
      </c>
      <c r="I172" s="11">
        <v>12071384</v>
      </c>
      <c r="J172" s="61">
        <v>-0.28000000000000003</v>
      </c>
      <c r="K172" s="54"/>
      <c r="L172" s="54"/>
      <c r="M172" s="54"/>
      <c r="N172" s="54"/>
      <c r="O172" s="54"/>
      <c r="P172" s="54"/>
      <c r="Q172" s="54"/>
      <c r="R172" s="54"/>
      <c r="S172" s="54"/>
    </row>
    <row r="173" spans="1:19" ht="15" customHeight="1" x14ac:dyDescent="0.3">
      <c r="A173" s="18">
        <v>171</v>
      </c>
      <c r="B173" s="18">
        <v>170</v>
      </c>
      <c r="C173" s="15" t="s">
        <v>358</v>
      </c>
      <c r="D173" s="15" t="s">
        <v>188</v>
      </c>
      <c r="E173" s="17">
        <v>1715208</v>
      </c>
      <c r="F173" s="59">
        <v>2.4E-2</v>
      </c>
      <c r="G173" s="17">
        <v>42880200</v>
      </c>
      <c r="H173" s="18">
        <v>168</v>
      </c>
      <c r="I173" s="17">
        <v>0</v>
      </c>
      <c r="J173" s="59">
        <v>0</v>
      </c>
      <c r="K173" s="54"/>
      <c r="L173" s="54"/>
      <c r="M173" s="54"/>
      <c r="N173" s="54"/>
      <c r="O173" s="54"/>
      <c r="P173" s="54"/>
      <c r="Q173" s="54"/>
      <c r="R173" s="54"/>
      <c r="S173" s="54"/>
    </row>
    <row r="174" spans="1:19" ht="15" customHeight="1" x14ac:dyDescent="0.3">
      <c r="A174" s="19">
        <v>172</v>
      </c>
      <c r="B174" s="19">
        <v>181</v>
      </c>
      <c r="C174" s="9" t="s">
        <v>359</v>
      </c>
      <c r="D174" s="9" t="s">
        <v>183</v>
      </c>
      <c r="E174" s="11">
        <v>1704813</v>
      </c>
      <c r="F174" s="61">
        <v>0.20499999999999999</v>
      </c>
      <c r="G174" s="11">
        <v>42620320</v>
      </c>
      <c r="H174" s="19">
        <v>169</v>
      </c>
      <c r="I174" s="11">
        <v>0</v>
      </c>
      <c r="J174" s="61">
        <v>0</v>
      </c>
      <c r="K174" s="54"/>
      <c r="L174" s="54"/>
      <c r="M174" s="54"/>
      <c r="N174" s="54"/>
      <c r="O174" s="54"/>
      <c r="P174" s="54"/>
      <c r="Q174" s="54"/>
      <c r="R174" s="54"/>
      <c r="S174" s="54"/>
    </row>
    <row r="175" spans="1:19" ht="15" customHeight="1" x14ac:dyDescent="0.3">
      <c r="A175" s="18">
        <v>173</v>
      </c>
      <c r="B175" s="18">
        <v>143</v>
      </c>
      <c r="C175" s="15" t="s">
        <v>360</v>
      </c>
      <c r="D175" s="15" t="s">
        <v>301</v>
      </c>
      <c r="E175" s="17">
        <v>1690263</v>
      </c>
      <c r="F175" s="59">
        <v>-0.183</v>
      </c>
      <c r="G175" s="17">
        <v>89583962</v>
      </c>
      <c r="H175" s="18">
        <v>64</v>
      </c>
      <c r="I175" s="17">
        <v>10575656</v>
      </c>
      <c r="J175" s="59">
        <v>-0.16</v>
      </c>
      <c r="K175" s="54"/>
      <c r="L175" s="54"/>
      <c r="M175" s="54"/>
      <c r="N175" s="54"/>
      <c r="O175" s="54"/>
      <c r="P175" s="54"/>
      <c r="Q175" s="54"/>
      <c r="R175" s="54"/>
      <c r="S175" s="54"/>
    </row>
    <row r="176" spans="1:19" ht="15" customHeight="1" x14ac:dyDescent="0.3">
      <c r="A176" s="19">
        <v>174</v>
      </c>
      <c r="B176" s="19">
        <v>205</v>
      </c>
      <c r="C176" s="9" t="s">
        <v>361</v>
      </c>
      <c r="D176" s="9" t="s">
        <v>180</v>
      </c>
      <c r="E176" s="11">
        <v>1606636</v>
      </c>
      <c r="F176" s="61">
        <v>0.96599999999999997</v>
      </c>
      <c r="G176" s="11">
        <v>44985800</v>
      </c>
      <c r="H176" s="19">
        <v>159</v>
      </c>
      <c r="I176" s="11">
        <v>10658908</v>
      </c>
      <c r="J176" s="61">
        <v>-0.54</v>
      </c>
      <c r="K176" s="54"/>
      <c r="L176" s="54"/>
      <c r="M176" s="54"/>
      <c r="N176" s="54"/>
      <c r="O176" s="54"/>
      <c r="P176" s="54"/>
      <c r="Q176" s="54"/>
      <c r="R176" s="54"/>
      <c r="S176" s="54"/>
    </row>
    <row r="177" spans="1:19" ht="15" customHeight="1" x14ac:dyDescent="0.3">
      <c r="A177" s="18">
        <v>175</v>
      </c>
      <c r="B177" s="18">
        <v>120</v>
      </c>
      <c r="C177" s="15" t="s">
        <v>362</v>
      </c>
      <c r="D177" s="15" t="s">
        <v>301</v>
      </c>
      <c r="E177" s="17">
        <v>1576899</v>
      </c>
      <c r="F177" s="59">
        <v>-0.29099999999999998</v>
      </c>
      <c r="G177" s="17">
        <v>83575663</v>
      </c>
      <c r="H177" s="18">
        <v>71</v>
      </c>
      <c r="I177" s="17">
        <v>9561760</v>
      </c>
      <c r="J177" s="59">
        <v>-0.16</v>
      </c>
      <c r="K177" s="54"/>
      <c r="L177" s="54"/>
      <c r="M177" s="54"/>
      <c r="N177" s="54"/>
      <c r="O177" s="54"/>
      <c r="P177" s="54"/>
      <c r="Q177" s="54"/>
      <c r="R177" s="54"/>
      <c r="S177" s="54"/>
    </row>
    <row r="178" spans="1:19" ht="15" customHeight="1" x14ac:dyDescent="0.3">
      <c r="A178" s="19">
        <v>176</v>
      </c>
      <c r="B178" s="19">
        <v>185</v>
      </c>
      <c r="C178" s="9" t="s">
        <v>363</v>
      </c>
      <c r="D178" s="9" t="s">
        <v>180</v>
      </c>
      <c r="E178" s="11">
        <v>1549515</v>
      </c>
      <c r="F178" s="61">
        <v>0.36399999999999999</v>
      </c>
      <c r="G178" s="11">
        <v>41836900</v>
      </c>
      <c r="H178" s="19">
        <v>170</v>
      </c>
      <c r="I178" s="11">
        <v>10576540</v>
      </c>
      <c r="J178" s="61">
        <v>0.17</v>
      </c>
      <c r="K178" s="54"/>
      <c r="L178" s="54"/>
      <c r="M178" s="54"/>
      <c r="N178" s="54"/>
      <c r="O178" s="54"/>
      <c r="P178" s="54"/>
      <c r="Q178" s="54"/>
      <c r="R178" s="54"/>
      <c r="S178" s="54"/>
    </row>
    <row r="179" spans="1:19" ht="15" customHeight="1" x14ac:dyDescent="0.3">
      <c r="A179" s="18">
        <v>177</v>
      </c>
      <c r="B179" s="18" t="s">
        <v>282</v>
      </c>
      <c r="C179" s="15" t="s">
        <v>364</v>
      </c>
      <c r="D179" s="15" t="s">
        <v>200</v>
      </c>
      <c r="E179" s="17">
        <v>1434153</v>
      </c>
      <c r="F179" s="59">
        <v>0</v>
      </c>
      <c r="G179" s="17">
        <v>38722120</v>
      </c>
      <c r="H179" s="18">
        <v>171</v>
      </c>
      <c r="I179" s="17">
        <v>4812236</v>
      </c>
      <c r="J179" s="59">
        <v>1.4999999999999999E-2</v>
      </c>
      <c r="K179" s="54"/>
      <c r="L179" s="54"/>
      <c r="M179" s="54"/>
      <c r="N179" s="54"/>
      <c r="O179" s="54"/>
      <c r="P179" s="54"/>
      <c r="Q179" s="54"/>
      <c r="R179" s="54"/>
      <c r="S179" s="54"/>
    </row>
    <row r="180" spans="1:19" ht="15" customHeight="1" x14ac:dyDescent="0.3">
      <c r="A180" s="19">
        <v>178</v>
      </c>
      <c r="B180" s="19" t="s">
        <v>282</v>
      </c>
      <c r="C180" s="9" t="s">
        <v>365</v>
      </c>
      <c r="D180" s="9" t="s">
        <v>366</v>
      </c>
      <c r="E180" s="11">
        <v>1432353</v>
      </c>
      <c r="F180" s="61">
        <v>0</v>
      </c>
      <c r="G180" s="11">
        <v>48700000</v>
      </c>
      <c r="H180" s="19">
        <v>154</v>
      </c>
      <c r="I180" s="11">
        <v>0</v>
      </c>
      <c r="J180" s="61">
        <v>0</v>
      </c>
      <c r="K180" s="54"/>
      <c r="L180" s="54"/>
      <c r="M180" s="54"/>
      <c r="N180" s="54"/>
      <c r="O180" s="54"/>
      <c r="P180" s="54"/>
      <c r="Q180" s="54"/>
      <c r="R180" s="54"/>
      <c r="S180" s="54"/>
    </row>
    <row r="181" spans="1:19" ht="15" customHeight="1" x14ac:dyDescent="0.3">
      <c r="A181" s="18">
        <v>179</v>
      </c>
      <c r="B181" s="18">
        <v>167</v>
      </c>
      <c r="C181" s="15" t="s">
        <v>367</v>
      </c>
      <c r="D181" s="15" t="s">
        <v>200</v>
      </c>
      <c r="E181" s="17">
        <v>1341166</v>
      </c>
      <c r="F181" s="59">
        <v>-0.249</v>
      </c>
      <c r="G181" s="17">
        <v>37552660</v>
      </c>
      <c r="H181" s="18">
        <v>172</v>
      </c>
      <c r="I181" s="17">
        <v>7358208</v>
      </c>
      <c r="J181" s="59">
        <v>0.36</v>
      </c>
      <c r="K181" s="54"/>
      <c r="L181" s="54"/>
      <c r="M181" s="54"/>
      <c r="N181" s="54"/>
      <c r="O181" s="54"/>
      <c r="P181" s="54"/>
      <c r="Q181" s="54"/>
      <c r="R181" s="54"/>
      <c r="S181" s="54"/>
    </row>
    <row r="182" spans="1:19" ht="15" customHeight="1" x14ac:dyDescent="0.3">
      <c r="A182" s="19">
        <v>180</v>
      </c>
      <c r="B182" s="19">
        <v>187</v>
      </c>
      <c r="C182" s="9" t="s">
        <v>368</v>
      </c>
      <c r="D182" s="9" t="s">
        <v>188</v>
      </c>
      <c r="E182" s="11">
        <v>1247424</v>
      </c>
      <c r="F182" s="61">
        <v>0.10199999999999999</v>
      </c>
      <c r="G182" s="11">
        <v>31185600</v>
      </c>
      <c r="H182" s="19">
        <v>175</v>
      </c>
      <c r="I182" s="11">
        <v>0</v>
      </c>
      <c r="J182" s="61">
        <v>0</v>
      </c>
      <c r="K182" s="54"/>
      <c r="L182" s="54"/>
      <c r="M182" s="54"/>
      <c r="N182" s="54"/>
      <c r="O182" s="54"/>
      <c r="P182" s="54"/>
      <c r="Q182" s="54"/>
      <c r="R182" s="54"/>
      <c r="S182" s="54"/>
    </row>
    <row r="183" spans="1:19" ht="15" customHeight="1" x14ac:dyDescent="0.3">
      <c r="A183" s="18">
        <v>181</v>
      </c>
      <c r="B183" s="18">
        <v>180</v>
      </c>
      <c r="C183" s="15" t="s">
        <v>369</v>
      </c>
      <c r="D183" s="15" t="s">
        <v>188</v>
      </c>
      <c r="E183" s="17">
        <v>1237484</v>
      </c>
      <c r="F183" s="59">
        <v>-0.13500000000000001</v>
      </c>
      <c r="G183" s="17">
        <v>30937100</v>
      </c>
      <c r="H183" s="18">
        <v>176</v>
      </c>
      <c r="I183" s="17">
        <v>0</v>
      </c>
      <c r="J183" s="59">
        <v>0</v>
      </c>
      <c r="K183" s="54"/>
      <c r="L183" s="54"/>
      <c r="M183" s="54"/>
      <c r="N183" s="54"/>
      <c r="O183" s="54"/>
      <c r="P183" s="54"/>
      <c r="Q183" s="54"/>
      <c r="R183" s="54"/>
      <c r="S183" s="54"/>
    </row>
    <row r="184" spans="1:19" ht="15" customHeight="1" x14ac:dyDescent="0.3">
      <c r="A184" s="19">
        <v>182</v>
      </c>
      <c r="B184" s="19">
        <v>173</v>
      </c>
      <c r="C184" s="9" t="s">
        <v>370</v>
      </c>
      <c r="D184" s="9" t="s">
        <v>301</v>
      </c>
      <c r="E184" s="11">
        <v>1178657</v>
      </c>
      <c r="F184" s="61">
        <v>-0.26100000000000001</v>
      </c>
      <c r="G184" s="11">
        <v>62468795</v>
      </c>
      <c r="H184" s="19">
        <v>117</v>
      </c>
      <c r="I184" s="11">
        <v>10726976</v>
      </c>
      <c r="J184" s="61">
        <v>-0.54</v>
      </c>
      <c r="K184" s="54"/>
      <c r="L184" s="54"/>
      <c r="M184" s="54"/>
      <c r="N184" s="54"/>
      <c r="O184" s="54"/>
      <c r="P184" s="54"/>
      <c r="Q184" s="54"/>
      <c r="R184" s="54"/>
      <c r="S184" s="54"/>
    </row>
    <row r="185" spans="1:19" ht="15" customHeight="1" x14ac:dyDescent="0.3">
      <c r="A185" s="18">
        <v>183</v>
      </c>
      <c r="B185" s="18">
        <v>183</v>
      </c>
      <c r="C185" s="15" t="s">
        <v>371</v>
      </c>
      <c r="D185" s="15" t="s">
        <v>372</v>
      </c>
      <c r="E185" s="17">
        <v>1178036</v>
      </c>
      <c r="F185" s="59">
        <v>-8.4000000000000005E-2</v>
      </c>
      <c r="G185" s="17">
        <v>31806977</v>
      </c>
      <c r="H185" s="18">
        <v>174</v>
      </c>
      <c r="I185" s="17">
        <v>6354816</v>
      </c>
      <c r="J185" s="59">
        <v>-0.25</v>
      </c>
      <c r="K185" s="54"/>
      <c r="L185" s="54"/>
      <c r="M185" s="54"/>
      <c r="N185" s="54"/>
      <c r="O185" s="54"/>
      <c r="P185" s="54"/>
      <c r="Q185" s="54"/>
      <c r="R185" s="54"/>
      <c r="S185" s="54"/>
    </row>
    <row r="186" spans="1:19" ht="15" customHeight="1" x14ac:dyDescent="0.3">
      <c r="A186" s="19">
        <v>184</v>
      </c>
      <c r="B186" s="19">
        <v>182</v>
      </c>
      <c r="C186" s="9" t="s">
        <v>373</v>
      </c>
      <c r="D186" s="9" t="s">
        <v>183</v>
      </c>
      <c r="E186" s="11">
        <v>1157194</v>
      </c>
      <c r="F186" s="61">
        <v>-0.16800000000000001</v>
      </c>
      <c r="G186" s="11">
        <v>28929842</v>
      </c>
      <c r="H186" s="19">
        <v>179</v>
      </c>
      <c r="I186" s="11">
        <v>0</v>
      </c>
      <c r="J186" s="61">
        <v>0</v>
      </c>
      <c r="K186" s="54"/>
      <c r="L186" s="54"/>
      <c r="M186" s="54"/>
      <c r="N186" s="54"/>
      <c r="O186" s="54"/>
      <c r="P186" s="54"/>
      <c r="Q186" s="54"/>
      <c r="R186" s="54"/>
      <c r="S186" s="54"/>
    </row>
    <row r="187" spans="1:19" ht="15" customHeight="1" x14ac:dyDescent="0.3">
      <c r="A187" s="18">
        <v>185</v>
      </c>
      <c r="B187" s="18">
        <v>204</v>
      </c>
      <c r="C187" s="15" t="s">
        <v>374</v>
      </c>
      <c r="D187" s="15" t="s">
        <v>183</v>
      </c>
      <c r="E187" s="17">
        <v>1157194</v>
      </c>
      <c r="F187" s="59">
        <v>0.34300000000000003</v>
      </c>
      <c r="G187" s="17">
        <v>28929842</v>
      </c>
      <c r="H187" s="18">
        <v>180</v>
      </c>
      <c r="I187" s="17">
        <v>0</v>
      </c>
      <c r="J187" s="59">
        <v>0</v>
      </c>
      <c r="K187" s="54"/>
      <c r="L187" s="54"/>
      <c r="M187" s="54"/>
      <c r="N187" s="54"/>
      <c r="O187" s="54"/>
      <c r="P187" s="54"/>
      <c r="Q187" s="54"/>
      <c r="R187" s="54"/>
      <c r="S187" s="54"/>
    </row>
    <row r="188" spans="1:19" ht="15" customHeight="1" x14ac:dyDescent="0.3">
      <c r="A188" s="19">
        <v>186</v>
      </c>
      <c r="B188" s="19">
        <v>184</v>
      </c>
      <c r="C188" s="9" t="s">
        <v>375</v>
      </c>
      <c r="D188" s="9" t="s">
        <v>200</v>
      </c>
      <c r="E188" s="11">
        <v>1126147</v>
      </c>
      <c r="F188" s="61">
        <v>-5.7000000000000002E-2</v>
      </c>
      <c r="G188" s="11">
        <v>30405960</v>
      </c>
      <c r="H188" s="19">
        <v>178</v>
      </c>
      <c r="I188" s="11">
        <v>5857488</v>
      </c>
      <c r="J188" s="61">
        <v>0.53</v>
      </c>
      <c r="K188" s="54"/>
      <c r="L188" s="54"/>
      <c r="M188" s="54"/>
      <c r="N188" s="54"/>
      <c r="O188" s="54"/>
      <c r="P188" s="54"/>
      <c r="Q188" s="54"/>
      <c r="R188" s="54"/>
      <c r="S188" s="54"/>
    </row>
    <row r="189" spans="1:19" ht="15" customHeight="1" x14ac:dyDescent="0.3">
      <c r="A189" s="18">
        <v>187</v>
      </c>
      <c r="B189" s="18">
        <v>159</v>
      </c>
      <c r="C189" s="15" t="s">
        <v>376</v>
      </c>
      <c r="D189" s="15" t="s">
        <v>301</v>
      </c>
      <c r="E189" s="17">
        <v>1123249</v>
      </c>
      <c r="F189" s="59">
        <v>-0.40600000000000003</v>
      </c>
      <c r="G189" s="17">
        <v>59532174</v>
      </c>
      <c r="H189" s="18">
        <v>133</v>
      </c>
      <c r="I189" s="17">
        <v>9461972</v>
      </c>
      <c r="J189" s="59">
        <v>-0.48</v>
      </c>
      <c r="K189" s="54"/>
      <c r="L189" s="54"/>
      <c r="M189" s="54"/>
      <c r="N189" s="54"/>
      <c r="O189" s="54"/>
      <c r="P189" s="54"/>
      <c r="Q189" s="54"/>
      <c r="R189" s="54"/>
      <c r="S189" s="54"/>
    </row>
    <row r="190" spans="1:19" ht="15" customHeight="1" x14ac:dyDescent="0.3">
      <c r="A190" s="19">
        <v>188</v>
      </c>
      <c r="B190" s="19">
        <v>188</v>
      </c>
      <c r="C190" s="9" t="s">
        <v>377</v>
      </c>
      <c r="D190" s="9" t="s">
        <v>200</v>
      </c>
      <c r="E190" s="11">
        <v>1118272</v>
      </c>
      <c r="F190" s="61">
        <v>-1.0999999999999999E-2</v>
      </c>
      <c r="G190" s="11">
        <v>36902960</v>
      </c>
      <c r="H190" s="19">
        <v>173</v>
      </c>
      <c r="I190" s="11">
        <v>0</v>
      </c>
      <c r="J190" s="61">
        <v>0</v>
      </c>
      <c r="K190" s="54"/>
      <c r="L190" s="54"/>
      <c r="M190" s="54"/>
      <c r="N190" s="54"/>
      <c r="O190" s="54"/>
      <c r="P190" s="54"/>
      <c r="Q190" s="54"/>
      <c r="R190" s="54"/>
      <c r="S190" s="54"/>
    </row>
    <row r="191" spans="1:19" ht="15" customHeight="1" x14ac:dyDescent="0.3">
      <c r="A191" s="18">
        <v>189</v>
      </c>
      <c r="B191" s="18">
        <v>198</v>
      </c>
      <c r="C191" s="15" t="s">
        <v>378</v>
      </c>
      <c r="D191" s="15" t="s">
        <v>183</v>
      </c>
      <c r="E191" s="17">
        <v>1106881</v>
      </c>
      <c r="F191" s="59">
        <v>0.188</v>
      </c>
      <c r="G191" s="17">
        <v>27672022</v>
      </c>
      <c r="H191" s="18">
        <v>182</v>
      </c>
      <c r="I191" s="17">
        <v>0</v>
      </c>
      <c r="J191" s="59">
        <v>0</v>
      </c>
      <c r="K191" s="54"/>
      <c r="L191" s="54"/>
      <c r="M191" s="54"/>
      <c r="N191" s="54"/>
      <c r="O191" s="54"/>
      <c r="P191" s="54"/>
      <c r="Q191" s="54"/>
      <c r="R191" s="54"/>
      <c r="S191" s="54"/>
    </row>
    <row r="192" spans="1:19" ht="15" customHeight="1" x14ac:dyDescent="0.3">
      <c r="A192" s="19">
        <v>190</v>
      </c>
      <c r="B192" s="19">
        <v>196</v>
      </c>
      <c r="C192" s="9" t="s">
        <v>379</v>
      </c>
      <c r="D192" s="9" t="s">
        <v>200</v>
      </c>
      <c r="E192" s="11">
        <v>1099849</v>
      </c>
      <c r="F192" s="61">
        <v>0.13900000000000001</v>
      </c>
      <c r="G192" s="11">
        <v>30795780</v>
      </c>
      <c r="H192" s="19">
        <v>177</v>
      </c>
      <c r="I192" s="11">
        <v>0</v>
      </c>
      <c r="J192" s="61">
        <v>2.5100000000000001E-2</v>
      </c>
      <c r="K192" s="54"/>
      <c r="L192" s="54"/>
      <c r="M192" s="54"/>
      <c r="N192" s="54"/>
      <c r="O192" s="54"/>
      <c r="P192" s="54"/>
      <c r="Q192" s="54"/>
      <c r="R192" s="54"/>
      <c r="S192" s="54"/>
    </row>
    <row r="193" spans="1:19" ht="15" customHeight="1" x14ac:dyDescent="0.3">
      <c r="A193" s="18">
        <v>191</v>
      </c>
      <c r="B193" s="18">
        <v>194</v>
      </c>
      <c r="C193" s="15" t="s">
        <v>380</v>
      </c>
      <c r="D193" s="15" t="s">
        <v>200</v>
      </c>
      <c r="E193" s="17">
        <v>1059511</v>
      </c>
      <c r="F193" s="59">
        <v>6.3E-2</v>
      </c>
      <c r="G193" s="17">
        <v>27547280</v>
      </c>
      <c r="H193" s="18">
        <v>184</v>
      </c>
      <c r="I193" s="17">
        <v>4285684</v>
      </c>
      <c r="J193" s="59">
        <v>2.2100000000000002E-2</v>
      </c>
      <c r="K193" s="54"/>
      <c r="L193" s="54"/>
      <c r="M193" s="54"/>
      <c r="N193" s="54"/>
      <c r="O193" s="54"/>
      <c r="P193" s="54"/>
      <c r="Q193" s="54"/>
      <c r="R193" s="54"/>
      <c r="S193" s="54"/>
    </row>
    <row r="194" spans="1:19" ht="15" customHeight="1" x14ac:dyDescent="0.3">
      <c r="A194" s="19">
        <v>192</v>
      </c>
      <c r="B194" s="19">
        <v>189</v>
      </c>
      <c r="C194" s="9" t="s">
        <v>381</v>
      </c>
      <c r="D194" s="9" t="s">
        <v>183</v>
      </c>
      <c r="E194" s="11">
        <v>1056568</v>
      </c>
      <c r="F194" s="61">
        <v>-1.7999999999999999E-2</v>
      </c>
      <c r="G194" s="11">
        <v>26414203</v>
      </c>
      <c r="H194" s="19">
        <v>185</v>
      </c>
      <c r="I194" s="11">
        <v>0</v>
      </c>
      <c r="J194" s="61">
        <v>0</v>
      </c>
      <c r="K194" s="54"/>
      <c r="L194" s="54"/>
      <c r="M194" s="54"/>
      <c r="N194" s="54"/>
      <c r="O194" s="54"/>
      <c r="P194" s="54"/>
      <c r="Q194" s="54"/>
      <c r="R194" s="54"/>
      <c r="S194" s="54"/>
    </row>
    <row r="195" spans="1:19" ht="15" customHeight="1" x14ac:dyDescent="0.3">
      <c r="A195" s="18">
        <v>193</v>
      </c>
      <c r="B195" s="18">
        <v>200</v>
      </c>
      <c r="C195" s="15" t="s">
        <v>382</v>
      </c>
      <c r="D195" s="15" t="s">
        <v>183</v>
      </c>
      <c r="E195" s="17">
        <v>1006255</v>
      </c>
      <c r="F195" s="59">
        <v>9.0999999999999998E-2</v>
      </c>
      <c r="G195" s="17">
        <v>25156384</v>
      </c>
      <c r="H195" s="18">
        <v>187</v>
      </c>
      <c r="I195" s="17">
        <v>0</v>
      </c>
      <c r="J195" s="59">
        <v>0</v>
      </c>
      <c r="K195" s="54"/>
      <c r="L195" s="54"/>
      <c r="M195" s="54"/>
      <c r="N195" s="54"/>
      <c r="O195" s="54"/>
      <c r="P195" s="54"/>
      <c r="Q195" s="54"/>
      <c r="R195" s="54"/>
      <c r="S195" s="54"/>
    </row>
    <row r="196" spans="1:19" ht="15" customHeight="1" x14ac:dyDescent="0.3">
      <c r="A196" s="19">
        <v>194</v>
      </c>
      <c r="B196" s="19">
        <v>192</v>
      </c>
      <c r="C196" s="9" t="s">
        <v>383</v>
      </c>
      <c r="D196" s="9" t="s">
        <v>200</v>
      </c>
      <c r="E196" s="11">
        <v>983831</v>
      </c>
      <c r="F196" s="61">
        <v>-3.4000000000000002E-2</v>
      </c>
      <c r="G196" s="11">
        <v>27547280</v>
      </c>
      <c r="H196" s="19">
        <v>183</v>
      </c>
      <c r="I196" s="11">
        <v>3421496</v>
      </c>
      <c r="J196" s="61">
        <v>1.2E-2</v>
      </c>
      <c r="K196" s="54"/>
      <c r="L196" s="54"/>
      <c r="M196" s="54"/>
      <c r="N196" s="54"/>
      <c r="O196" s="54"/>
      <c r="P196" s="54"/>
      <c r="Q196" s="54"/>
      <c r="R196" s="54"/>
      <c r="S196" s="54"/>
    </row>
    <row r="197" spans="1:19" ht="15" customHeight="1" x14ac:dyDescent="0.3">
      <c r="A197" s="18">
        <v>195</v>
      </c>
      <c r="B197" s="18" t="s">
        <v>282</v>
      </c>
      <c r="C197" s="15" t="s">
        <v>384</v>
      </c>
      <c r="D197" s="15" t="s">
        <v>200</v>
      </c>
      <c r="E197" s="17">
        <v>952893</v>
      </c>
      <c r="F197" s="59">
        <v>0</v>
      </c>
      <c r="G197" s="17">
        <v>28586800</v>
      </c>
      <c r="H197" s="18">
        <v>181</v>
      </c>
      <c r="I197" s="17">
        <v>0</v>
      </c>
      <c r="J197" s="59">
        <v>0</v>
      </c>
      <c r="K197" s="54"/>
      <c r="L197" s="54"/>
      <c r="M197" s="54"/>
      <c r="N197" s="54"/>
      <c r="O197" s="54"/>
      <c r="P197" s="54"/>
      <c r="Q197" s="54"/>
      <c r="R197" s="54"/>
      <c r="S197" s="54"/>
    </row>
    <row r="198" spans="1:19" ht="15" customHeight="1" x14ac:dyDescent="0.3">
      <c r="A198" s="19">
        <v>196</v>
      </c>
      <c r="B198" s="19">
        <v>201</v>
      </c>
      <c r="C198" s="9" t="s">
        <v>385</v>
      </c>
      <c r="D198" s="9" t="s">
        <v>188</v>
      </c>
      <c r="E198" s="11">
        <v>935568</v>
      </c>
      <c r="F198" s="61">
        <v>5.5E-2</v>
      </c>
      <c r="G198" s="11">
        <v>23389200</v>
      </c>
      <c r="H198" s="19">
        <v>189</v>
      </c>
      <c r="I198" s="11">
        <v>0</v>
      </c>
      <c r="J198" s="61">
        <v>0</v>
      </c>
      <c r="K198" s="54"/>
      <c r="L198" s="54"/>
      <c r="M198" s="54"/>
      <c r="N198" s="54"/>
      <c r="O198" s="54"/>
      <c r="P198" s="54"/>
      <c r="Q198" s="54"/>
      <c r="R198" s="54"/>
      <c r="S198" s="54"/>
    </row>
    <row r="199" spans="1:19" ht="15" customHeight="1" x14ac:dyDescent="0.3">
      <c r="A199" s="18">
        <v>197</v>
      </c>
      <c r="B199" s="18">
        <v>203</v>
      </c>
      <c r="C199" s="15" t="s">
        <v>386</v>
      </c>
      <c r="D199" s="15" t="s">
        <v>188</v>
      </c>
      <c r="E199" s="17">
        <v>883592</v>
      </c>
      <c r="F199" s="59">
        <v>2.5999999999999999E-2</v>
      </c>
      <c r="G199" s="17">
        <v>22089800</v>
      </c>
      <c r="H199" s="18">
        <v>192</v>
      </c>
      <c r="I199" s="17">
        <v>0</v>
      </c>
      <c r="J199" s="59">
        <v>0</v>
      </c>
      <c r="K199" s="54"/>
      <c r="L199" s="54"/>
      <c r="M199" s="54"/>
      <c r="N199" s="54"/>
      <c r="O199" s="54"/>
      <c r="P199" s="54"/>
      <c r="Q199" s="54"/>
      <c r="R199" s="54"/>
      <c r="S199" s="54"/>
    </row>
    <row r="200" spans="1:19" ht="15" customHeight="1" x14ac:dyDescent="0.3">
      <c r="A200" s="19">
        <v>198</v>
      </c>
      <c r="B200" s="19">
        <v>208</v>
      </c>
      <c r="C200" s="9" t="s">
        <v>387</v>
      </c>
      <c r="D200" s="9" t="s">
        <v>183</v>
      </c>
      <c r="E200" s="11">
        <v>875442</v>
      </c>
      <c r="F200" s="61">
        <v>0.183</v>
      </c>
      <c r="G200" s="11">
        <v>21886054</v>
      </c>
      <c r="H200" s="19">
        <v>193</v>
      </c>
      <c r="I200" s="11">
        <v>0</v>
      </c>
      <c r="J200" s="61">
        <v>0</v>
      </c>
      <c r="K200" s="54"/>
      <c r="L200" s="54"/>
      <c r="M200" s="54"/>
      <c r="N200" s="54"/>
      <c r="O200" s="54"/>
      <c r="P200" s="54"/>
      <c r="Q200" s="54"/>
      <c r="R200" s="54"/>
      <c r="S200" s="54"/>
    </row>
    <row r="201" spans="1:19" ht="15" customHeight="1" x14ac:dyDescent="0.3">
      <c r="A201" s="18">
        <v>199</v>
      </c>
      <c r="B201" s="18" t="s">
        <v>282</v>
      </c>
      <c r="C201" s="15" t="s">
        <v>388</v>
      </c>
      <c r="D201" s="15" t="s">
        <v>188</v>
      </c>
      <c r="E201" s="17">
        <v>850182</v>
      </c>
      <c r="F201" s="59">
        <v>0</v>
      </c>
      <c r="G201" s="17">
        <v>21254546</v>
      </c>
      <c r="H201" s="18">
        <v>194</v>
      </c>
      <c r="I201" s="17">
        <v>0</v>
      </c>
      <c r="J201" s="59">
        <v>0</v>
      </c>
      <c r="K201" s="54"/>
      <c r="L201" s="54"/>
      <c r="M201" s="54"/>
      <c r="N201" s="54"/>
      <c r="O201" s="54"/>
      <c r="P201" s="54"/>
      <c r="Q201" s="54"/>
      <c r="R201" s="54"/>
      <c r="S201" s="54"/>
    </row>
    <row r="202" spans="1:19" ht="15" customHeight="1" x14ac:dyDescent="0.3">
      <c r="A202" s="19">
        <v>200</v>
      </c>
      <c r="B202" s="19">
        <v>195</v>
      </c>
      <c r="C202" s="9" t="s">
        <v>389</v>
      </c>
      <c r="D202" s="9" t="s">
        <v>372</v>
      </c>
      <c r="E202" s="11">
        <v>820198</v>
      </c>
      <c r="F202" s="61">
        <v>-0.14799999999999999</v>
      </c>
      <c r="G202" s="11">
        <v>22145349</v>
      </c>
      <c r="H202" s="19">
        <v>191</v>
      </c>
      <c r="I202" s="11">
        <v>4716868</v>
      </c>
      <c r="J202" s="61">
        <v>-0.18</v>
      </c>
      <c r="K202" s="54"/>
      <c r="L202" s="54"/>
      <c r="M202" s="54"/>
      <c r="N202" s="54"/>
      <c r="O202" s="54"/>
      <c r="P202" s="54"/>
      <c r="Q202" s="54"/>
      <c r="R202" s="54"/>
      <c r="S202" s="54"/>
    </row>
    <row r="203" spans="1:19" ht="15" customHeight="1" x14ac:dyDescent="0.3">
      <c r="A203" s="18">
        <v>201</v>
      </c>
      <c r="B203" s="18">
        <v>193</v>
      </c>
      <c r="C203" s="15" t="s">
        <v>390</v>
      </c>
      <c r="D203" s="15" t="s">
        <v>200</v>
      </c>
      <c r="E203" s="17">
        <v>818622</v>
      </c>
      <c r="F203" s="59">
        <v>-0.19600000000000001</v>
      </c>
      <c r="G203" s="17">
        <v>24558660</v>
      </c>
      <c r="H203" s="18">
        <v>188</v>
      </c>
      <c r="I203" s="17">
        <v>3261752</v>
      </c>
      <c r="J203" s="59">
        <v>1.11E-2</v>
      </c>
      <c r="K203" s="54"/>
      <c r="L203" s="54"/>
      <c r="M203" s="54"/>
      <c r="N203" s="54"/>
      <c r="O203" s="54"/>
      <c r="P203" s="54"/>
      <c r="Q203" s="54"/>
      <c r="R203" s="54"/>
      <c r="S203" s="54"/>
    </row>
    <row r="204" spans="1:19" ht="15" customHeight="1" x14ac:dyDescent="0.3">
      <c r="A204" s="19">
        <v>202</v>
      </c>
      <c r="B204" s="19">
        <v>202</v>
      </c>
      <c r="C204" s="9" t="s">
        <v>391</v>
      </c>
      <c r="D204" s="9" t="s">
        <v>200</v>
      </c>
      <c r="E204" s="11">
        <v>806524</v>
      </c>
      <c r="F204" s="61">
        <v>-9.0999999999999998E-2</v>
      </c>
      <c r="G204" s="11">
        <v>23389200</v>
      </c>
      <c r="H204" s="19">
        <v>190</v>
      </c>
      <c r="I204" s="11">
        <v>4268472</v>
      </c>
      <c r="J204" s="61">
        <v>0.99</v>
      </c>
      <c r="K204" s="54"/>
      <c r="L204" s="54"/>
      <c r="M204" s="54"/>
      <c r="N204" s="54"/>
      <c r="O204" s="54"/>
      <c r="P204" s="54"/>
      <c r="Q204" s="54"/>
      <c r="R204" s="54"/>
      <c r="S204" s="54"/>
    </row>
    <row r="205" spans="1:19" ht="15" customHeight="1" x14ac:dyDescent="0.3">
      <c r="A205" s="18">
        <v>203</v>
      </c>
      <c r="B205" s="18" t="s">
        <v>282</v>
      </c>
      <c r="C205" s="15" t="s">
        <v>392</v>
      </c>
      <c r="D205" s="15" t="s">
        <v>188</v>
      </c>
      <c r="E205" s="17">
        <v>805628</v>
      </c>
      <c r="F205" s="59">
        <v>0</v>
      </c>
      <c r="G205" s="17">
        <v>20140700</v>
      </c>
      <c r="H205" s="18">
        <v>198</v>
      </c>
      <c r="I205" s="17">
        <v>0</v>
      </c>
      <c r="J205" s="59">
        <v>0</v>
      </c>
      <c r="K205" s="54"/>
      <c r="L205" s="54"/>
      <c r="M205" s="54"/>
      <c r="N205" s="54"/>
      <c r="O205" s="54"/>
      <c r="P205" s="54"/>
      <c r="Q205" s="54"/>
      <c r="R205" s="54"/>
      <c r="S205" s="54"/>
    </row>
    <row r="206" spans="1:19" ht="15" customHeight="1" x14ac:dyDescent="0.3">
      <c r="A206" s="19">
        <v>204</v>
      </c>
      <c r="B206" s="19">
        <v>191</v>
      </c>
      <c r="C206" s="9" t="s">
        <v>393</v>
      </c>
      <c r="D206" s="9" t="s">
        <v>200</v>
      </c>
      <c r="E206" s="11">
        <v>794633</v>
      </c>
      <c r="F206" s="61">
        <v>-0.23100000000000001</v>
      </c>
      <c r="G206" s="11">
        <v>20660460</v>
      </c>
      <c r="H206" s="19">
        <v>195</v>
      </c>
      <c r="I206" s="11">
        <v>4170868</v>
      </c>
      <c r="J206" s="61">
        <v>2.46E-2</v>
      </c>
      <c r="K206" s="54"/>
      <c r="L206" s="54"/>
      <c r="M206" s="54"/>
      <c r="N206" s="54"/>
      <c r="O206" s="54"/>
      <c r="P206" s="54"/>
      <c r="Q206" s="54"/>
      <c r="R206" s="54"/>
      <c r="S206" s="54"/>
    </row>
    <row r="207" spans="1:19" ht="15" customHeight="1" x14ac:dyDescent="0.3">
      <c r="A207" s="18">
        <v>205</v>
      </c>
      <c r="B207" s="18" t="s">
        <v>282</v>
      </c>
      <c r="C207" s="15" t="s">
        <v>394</v>
      </c>
      <c r="D207" s="15" t="s">
        <v>366</v>
      </c>
      <c r="E207" s="17">
        <v>770588</v>
      </c>
      <c r="F207" s="59">
        <v>0</v>
      </c>
      <c r="G207" s="17">
        <v>26200000</v>
      </c>
      <c r="H207" s="18">
        <v>186</v>
      </c>
      <c r="I207" s="17">
        <v>0</v>
      </c>
      <c r="J207" s="59">
        <v>0</v>
      </c>
      <c r="K207" s="54"/>
      <c r="L207" s="54"/>
      <c r="M207" s="54"/>
      <c r="N207" s="54"/>
      <c r="O207" s="54"/>
      <c r="P207" s="54"/>
      <c r="Q207" s="54"/>
      <c r="R207" s="54"/>
      <c r="S207" s="54"/>
    </row>
    <row r="208" spans="1:19" ht="15" customHeight="1" x14ac:dyDescent="0.3">
      <c r="A208" s="19">
        <v>206</v>
      </c>
      <c r="B208" s="19">
        <v>207</v>
      </c>
      <c r="C208" s="9" t="s">
        <v>395</v>
      </c>
      <c r="D208" s="9" t="s">
        <v>183</v>
      </c>
      <c r="E208" s="11">
        <v>754692</v>
      </c>
      <c r="F208" s="61">
        <v>-2.9000000000000001E-2</v>
      </c>
      <c r="G208" s="11">
        <v>18867288</v>
      </c>
      <c r="H208" s="19">
        <v>200</v>
      </c>
      <c r="I208" s="11">
        <v>0</v>
      </c>
      <c r="J208" s="61">
        <v>0</v>
      </c>
      <c r="K208" s="54"/>
      <c r="L208" s="54"/>
      <c r="M208" s="54"/>
      <c r="N208" s="54"/>
      <c r="O208" s="54"/>
      <c r="P208" s="54"/>
      <c r="Q208" s="54"/>
      <c r="R208" s="54"/>
      <c r="S208" s="54"/>
    </row>
    <row r="209" spans="1:19" ht="15" customHeight="1" x14ac:dyDescent="0.3">
      <c r="A209" s="18">
        <v>207</v>
      </c>
      <c r="B209" s="18">
        <v>212</v>
      </c>
      <c r="C209" s="15" t="s">
        <v>396</v>
      </c>
      <c r="D209" s="15" t="s">
        <v>200</v>
      </c>
      <c r="E209" s="17">
        <v>737874</v>
      </c>
      <c r="F209" s="59">
        <v>0.09</v>
      </c>
      <c r="G209" s="17">
        <v>20660460</v>
      </c>
      <c r="H209" s="18">
        <v>196</v>
      </c>
      <c r="I209" s="17">
        <v>0</v>
      </c>
      <c r="J209" s="59">
        <v>0</v>
      </c>
      <c r="K209" s="54"/>
      <c r="L209" s="54"/>
      <c r="M209" s="54"/>
      <c r="N209" s="54"/>
      <c r="O209" s="54"/>
      <c r="P209" s="54"/>
      <c r="Q209" s="54"/>
      <c r="R209" s="54"/>
      <c r="S209" s="54"/>
    </row>
    <row r="210" spans="1:19" ht="15" customHeight="1" x14ac:dyDescent="0.3">
      <c r="A210" s="19">
        <v>208</v>
      </c>
      <c r="B210" s="19">
        <v>197</v>
      </c>
      <c r="C210" s="9" t="s">
        <v>397</v>
      </c>
      <c r="D210" s="9" t="s">
        <v>372</v>
      </c>
      <c r="E210" s="11">
        <v>732903</v>
      </c>
      <c r="F210" s="61">
        <v>-0.217</v>
      </c>
      <c r="G210" s="11">
        <v>19788372</v>
      </c>
      <c r="H210" s="19">
        <v>199</v>
      </c>
      <c r="I210" s="11">
        <v>4964232</v>
      </c>
      <c r="J210" s="61">
        <v>-0.34</v>
      </c>
      <c r="K210" s="54"/>
      <c r="L210" s="54"/>
      <c r="M210" s="54"/>
      <c r="N210" s="54"/>
      <c r="O210" s="54"/>
      <c r="P210" s="54"/>
      <c r="Q210" s="54"/>
      <c r="R210" s="54"/>
      <c r="S210" s="54"/>
    </row>
    <row r="211" spans="1:19" ht="15" customHeight="1" x14ac:dyDescent="0.3">
      <c r="A211" s="18">
        <v>209</v>
      </c>
      <c r="B211" s="18">
        <v>217</v>
      </c>
      <c r="C211" s="15" t="s">
        <v>398</v>
      </c>
      <c r="D211" s="15" t="s">
        <v>183</v>
      </c>
      <c r="E211" s="17">
        <v>730541</v>
      </c>
      <c r="F211" s="59">
        <v>0.33300000000000002</v>
      </c>
      <c r="G211" s="17">
        <v>18263535</v>
      </c>
      <c r="H211" s="18">
        <v>201</v>
      </c>
      <c r="I211" s="17">
        <v>0</v>
      </c>
      <c r="J211" s="59">
        <v>0</v>
      </c>
      <c r="K211" s="54"/>
      <c r="L211" s="54"/>
      <c r="M211" s="54"/>
      <c r="N211" s="54"/>
      <c r="O211" s="54"/>
      <c r="P211" s="54"/>
      <c r="Q211" s="54"/>
      <c r="R211" s="54"/>
      <c r="S211" s="54"/>
    </row>
    <row r="212" spans="1:19" ht="15" customHeight="1" x14ac:dyDescent="0.3">
      <c r="A212" s="19">
        <v>210</v>
      </c>
      <c r="B212" s="19">
        <v>166</v>
      </c>
      <c r="C212" s="9" t="s">
        <v>399</v>
      </c>
      <c r="D212" s="9" t="s">
        <v>183</v>
      </c>
      <c r="E212" s="11">
        <v>694316</v>
      </c>
      <c r="F212" s="61">
        <v>-0.33200000000000002</v>
      </c>
      <c r="G212" s="11">
        <v>17357905</v>
      </c>
      <c r="H212" s="19">
        <v>202</v>
      </c>
      <c r="I212" s="11">
        <v>0</v>
      </c>
      <c r="J212" s="61">
        <v>0</v>
      </c>
      <c r="K212" s="54"/>
      <c r="L212" s="54"/>
      <c r="M212" s="54"/>
      <c r="N212" s="54"/>
      <c r="O212" s="54"/>
      <c r="P212" s="54"/>
      <c r="Q212" s="54"/>
      <c r="R212" s="54"/>
      <c r="S212" s="54"/>
    </row>
    <row r="213" spans="1:19" ht="15" customHeight="1" x14ac:dyDescent="0.3">
      <c r="A213" s="18">
        <v>211</v>
      </c>
      <c r="B213" s="18">
        <v>172</v>
      </c>
      <c r="C213" s="15" t="s">
        <v>400</v>
      </c>
      <c r="D213" s="15" t="s">
        <v>183</v>
      </c>
      <c r="E213" s="17">
        <v>654066</v>
      </c>
      <c r="F213" s="59">
        <v>-0.504</v>
      </c>
      <c r="G213" s="17">
        <v>16351650</v>
      </c>
      <c r="H213" s="18">
        <v>204</v>
      </c>
      <c r="I213" s="17">
        <v>0</v>
      </c>
      <c r="J213" s="59">
        <v>0</v>
      </c>
      <c r="K213" s="54"/>
      <c r="L213" s="54"/>
      <c r="M213" s="54"/>
      <c r="N213" s="54"/>
      <c r="O213" s="54"/>
      <c r="P213" s="54"/>
      <c r="Q213" s="54"/>
      <c r="R213" s="54"/>
      <c r="S213" s="54"/>
    </row>
    <row r="214" spans="1:19" ht="15" customHeight="1" x14ac:dyDescent="0.3">
      <c r="A214" s="19">
        <v>212</v>
      </c>
      <c r="B214" s="19">
        <v>210</v>
      </c>
      <c r="C214" s="9" t="s">
        <v>401</v>
      </c>
      <c r="D214" s="9" t="s">
        <v>372</v>
      </c>
      <c r="E214" s="11">
        <v>624677</v>
      </c>
      <c r="F214" s="61">
        <v>-8.2000000000000003E-2</v>
      </c>
      <c r="G214" s="11">
        <v>16866279</v>
      </c>
      <c r="H214" s="19">
        <v>203</v>
      </c>
      <c r="I214" s="11">
        <v>3821844</v>
      </c>
      <c r="J214" s="61">
        <v>-0.22</v>
      </c>
      <c r="K214" s="54"/>
      <c r="L214" s="54"/>
      <c r="M214" s="54"/>
      <c r="N214" s="54"/>
      <c r="O214" s="54"/>
      <c r="P214" s="54"/>
      <c r="Q214" s="54"/>
      <c r="R214" s="54"/>
      <c r="S214" s="54"/>
    </row>
    <row r="215" spans="1:19" ht="15" customHeight="1" x14ac:dyDescent="0.3">
      <c r="A215" s="18">
        <v>213</v>
      </c>
      <c r="B215" s="18">
        <v>213</v>
      </c>
      <c r="C215" s="15" t="s">
        <v>402</v>
      </c>
      <c r="D215" s="15" t="s">
        <v>183</v>
      </c>
      <c r="E215" s="17">
        <v>603753</v>
      </c>
      <c r="F215" s="59">
        <v>-9.6000000000000002E-2</v>
      </c>
      <c r="G215" s="17">
        <v>15093830</v>
      </c>
      <c r="H215" s="18">
        <v>207</v>
      </c>
      <c r="I215" s="17">
        <v>0</v>
      </c>
      <c r="J215" s="59">
        <v>0</v>
      </c>
      <c r="K215" s="54"/>
      <c r="L215" s="54"/>
      <c r="M215" s="54"/>
      <c r="N215" s="54"/>
      <c r="O215" s="54"/>
      <c r="P215" s="54"/>
      <c r="Q215" s="54"/>
      <c r="R215" s="54"/>
      <c r="S215" s="54"/>
    </row>
    <row r="216" spans="1:19" ht="15" customHeight="1" x14ac:dyDescent="0.3">
      <c r="A216" s="19">
        <v>214</v>
      </c>
      <c r="B216" s="19">
        <v>252</v>
      </c>
      <c r="C216" s="9" t="s">
        <v>403</v>
      </c>
      <c r="D216" s="9" t="s">
        <v>404</v>
      </c>
      <c r="E216" s="11">
        <v>599552</v>
      </c>
      <c r="F216" s="61">
        <v>2.564E-2</v>
      </c>
      <c r="G216" s="11">
        <v>16187908</v>
      </c>
      <c r="H216" s="19">
        <v>206</v>
      </c>
      <c r="I216" s="11">
        <v>1487096</v>
      </c>
      <c r="J216" s="61">
        <v>2.18E-2</v>
      </c>
      <c r="K216" s="54"/>
      <c r="L216" s="54"/>
      <c r="M216" s="54"/>
      <c r="N216" s="54"/>
      <c r="O216" s="54"/>
      <c r="P216" s="54"/>
      <c r="Q216" s="54"/>
      <c r="R216" s="54"/>
      <c r="S216" s="54"/>
    </row>
    <row r="217" spans="1:19" ht="15" customHeight="1" x14ac:dyDescent="0.3">
      <c r="A217" s="18">
        <v>215</v>
      </c>
      <c r="B217" s="18" t="s">
        <v>282</v>
      </c>
      <c r="C217" s="15" t="s">
        <v>405</v>
      </c>
      <c r="D217" s="15" t="s">
        <v>366</v>
      </c>
      <c r="E217" s="17">
        <v>597647</v>
      </c>
      <c r="F217" s="59">
        <v>0</v>
      </c>
      <c r="G217" s="17">
        <v>20320000</v>
      </c>
      <c r="H217" s="18">
        <v>197</v>
      </c>
      <c r="I217" s="17">
        <v>0</v>
      </c>
      <c r="J217" s="59">
        <v>0</v>
      </c>
      <c r="K217" s="54"/>
      <c r="L217" s="54"/>
      <c r="M217" s="54"/>
      <c r="N217" s="54"/>
      <c r="O217" s="54"/>
      <c r="P217" s="54"/>
      <c r="Q217" s="54"/>
      <c r="R217" s="54"/>
      <c r="S217" s="54"/>
    </row>
    <row r="218" spans="1:19" ht="15" customHeight="1" x14ac:dyDescent="0.3">
      <c r="A218" s="19">
        <v>216</v>
      </c>
      <c r="B218" s="19" t="s">
        <v>282</v>
      </c>
      <c r="C218" s="9" t="s">
        <v>406</v>
      </c>
      <c r="D218" s="9" t="s">
        <v>200</v>
      </c>
      <c r="E218" s="11">
        <v>561341</v>
      </c>
      <c r="F218" s="61">
        <v>0</v>
      </c>
      <c r="G218" s="11">
        <v>14033520</v>
      </c>
      <c r="H218" s="19">
        <v>209</v>
      </c>
      <c r="I218" s="11">
        <v>0</v>
      </c>
      <c r="J218" s="61">
        <v>0</v>
      </c>
      <c r="K218" s="54"/>
      <c r="L218" s="54"/>
      <c r="M218" s="54"/>
      <c r="N218" s="54"/>
      <c r="O218" s="54"/>
      <c r="P218" s="54"/>
      <c r="Q218" s="54"/>
      <c r="R218" s="54"/>
      <c r="S218" s="54"/>
    </row>
    <row r="219" spans="1:19" ht="15" customHeight="1" x14ac:dyDescent="0.3">
      <c r="A219" s="18">
        <v>217</v>
      </c>
      <c r="B219" s="18">
        <v>222</v>
      </c>
      <c r="C219" s="15" t="s">
        <v>407</v>
      </c>
      <c r="D219" s="15" t="s">
        <v>183</v>
      </c>
      <c r="E219" s="17">
        <v>553440</v>
      </c>
      <c r="F219" s="59">
        <v>0.22900000000000001</v>
      </c>
      <c r="G219" s="17">
        <v>13836011</v>
      </c>
      <c r="H219" s="18">
        <v>210</v>
      </c>
      <c r="I219" s="17">
        <v>0</v>
      </c>
      <c r="J219" s="59">
        <v>0</v>
      </c>
      <c r="K219" s="54"/>
      <c r="L219" s="54"/>
      <c r="M219" s="54"/>
      <c r="N219" s="54"/>
      <c r="O219" s="54"/>
      <c r="P219" s="54"/>
      <c r="Q219" s="54"/>
      <c r="R219" s="54"/>
      <c r="S219" s="54"/>
    </row>
    <row r="220" spans="1:19" ht="15" customHeight="1" x14ac:dyDescent="0.3">
      <c r="A220" s="19">
        <v>218</v>
      </c>
      <c r="B220" s="19">
        <v>219</v>
      </c>
      <c r="C220" s="9" t="s">
        <v>408</v>
      </c>
      <c r="D220" s="9" t="s">
        <v>183</v>
      </c>
      <c r="E220" s="11">
        <v>553440</v>
      </c>
      <c r="F220" s="61">
        <v>3.4000000000000002E-2</v>
      </c>
      <c r="G220" s="11">
        <v>13836011</v>
      </c>
      <c r="H220" s="19">
        <v>211</v>
      </c>
      <c r="I220" s="11">
        <v>0</v>
      </c>
      <c r="J220" s="61">
        <v>0</v>
      </c>
      <c r="K220" s="54"/>
      <c r="L220" s="54"/>
      <c r="M220" s="54"/>
      <c r="N220" s="54"/>
      <c r="O220" s="54"/>
      <c r="P220" s="54"/>
      <c r="Q220" s="54"/>
      <c r="R220" s="54"/>
      <c r="S220" s="54"/>
    </row>
    <row r="221" spans="1:19" ht="15" customHeight="1" x14ac:dyDescent="0.3">
      <c r="A221" s="18">
        <v>219</v>
      </c>
      <c r="B221" s="18">
        <v>211</v>
      </c>
      <c r="C221" s="15" t="s">
        <v>409</v>
      </c>
      <c r="D221" s="15" t="s">
        <v>372</v>
      </c>
      <c r="E221" s="17">
        <v>549612</v>
      </c>
      <c r="F221" s="59">
        <v>-0.185</v>
      </c>
      <c r="G221" s="17">
        <v>14839535</v>
      </c>
      <c r="H221" s="18">
        <v>208</v>
      </c>
      <c r="I221" s="17">
        <v>3489720</v>
      </c>
      <c r="J221" s="59">
        <v>-0.24</v>
      </c>
      <c r="K221" s="54"/>
      <c r="L221" s="54"/>
      <c r="M221" s="54"/>
      <c r="N221" s="54"/>
      <c r="O221" s="54"/>
      <c r="P221" s="54"/>
      <c r="Q221" s="54"/>
      <c r="R221" s="54"/>
      <c r="S221" s="54"/>
    </row>
    <row r="222" spans="1:19" ht="15" customHeight="1" x14ac:dyDescent="0.3">
      <c r="A222" s="19">
        <v>220</v>
      </c>
      <c r="B222" s="19">
        <v>209</v>
      </c>
      <c r="C222" s="9" t="s">
        <v>410</v>
      </c>
      <c r="D222" s="9" t="s">
        <v>372</v>
      </c>
      <c r="E222" s="11">
        <v>511563</v>
      </c>
      <c r="F222" s="61">
        <v>-0.26300000000000001</v>
      </c>
      <c r="G222" s="11">
        <v>13812209</v>
      </c>
      <c r="H222" s="19">
        <v>212</v>
      </c>
      <c r="I222" s="11">
        <v>3573232</v>
      </c>
      <c r="J222" s="61">
        <v>-0.44</v>
      </c>
      <c r="K222" s="54"/>
      <c r="L222" s="54"/>
      <c r="M222" s="54"/>
      <c r="N222" s="54"/>
      <c r="O222" s="54"/>
      <c r="P222" s="54"/>
      <c r="Q222" s="54"/>
      <c r="R222" s="54"/>
      <c r="S222" s="54"/>
    </row>
    <row r="223" spans="1:19" ht="15" customHeight="1" x14ac:dyDescent="0.3">
      <c r="A223" s="18">
        <v>221</v>
      </c>
      <c r="B223" s="18">
        <v>214</v>
      </c>
      <c r="C223" s="15" t="s">
        <v>411</v>
      </c>
      <c r="D223" s="15" t="s">
        <v>372</v>
      </c>
      <c r="E223" s="17">
        <v>510336</v>
      </c>
      <c r="F223" s="59">
        <v>-0.222</v>
      </c>
      <c r="G223" s="17">
        <v>13779070</v>
      </c>
      <c r="H223" s="18">
        <v>213</v>
      </c>
      <c r="I223" s="17">
        <v>3407196</v>
      </c>
      <c r="J223" s="59">
        <v>-0.28000000000000003</v>
      </c>
      <c r="K223" s="54"/>
      <c r="L223" s="54"/>
      <c r="M223" s="54"/>
      <c r="N223" s="54"/>
      <c r="O223" s="54"/>
      <c r="P223" s="54"/>
      <c r="Q223" s="54"/>
      <c r="R223" s="54"/>
      <c r="S223" s="54"/>
    </row>
    <row r="224" spans="1:19" ht="15" customHeight="1" x14ac:dyDescent="0.3">
      <c r="A224" s="19">
        <v>222</v>
      </c>
      <c r="B224" s="19">
        <v>206</v>
      </c>
      <c r="C224" s="9" t="s">
        <v>412</v>
      </c>
      <c r="D224" s="9" t="s">
        <v>372</v>
      </c>
      <c r="E224" s="11">
        <v>509001</v>
      </c>
      <c r="F224" s="61">
        <v>-0.35599999999999998</v>
      </c>
      <c r="G224" s="11">
        <v>13743023</v>
      </c>
      <c r="H224" s="19">
        <v>214</v>
      </c>
      <c r="I224" s="11">
        <v>3733964</v>
      </c>
      <c r="J224" s="61">
        <v>-0.4</v>
      </c>
      <c r="K224" s="54"/>
      <c r="L224" s="54"/>
      <c r="M224" s="54"/>
      <c r="N224" s="54"/>
      <c r="O224" s="54"/>
      <c r="P224" s="54"/>
      <c r="Q224" s="54"/>
      <c r="R224" s="54"/>
      <c r="S224" s="54"/>
    </row>
    <row r="225" spans="1:19" ht="15" customHeight="1" x14ac:dyDescent="0.3">
      <c r="A225" s="18">
        <v>223</v>
      </c>
      <c r="B225" s="18">
        <v>216</v>
      </c>
      <c r="C225" s="15" t="s">
        <v>413</v>
      </c>
      <c r="D225" s="15" t="s">
        <v>372</v>
      </c>
      <c r="E225" s="17">
        <v>489449</v>
      </c>
      <c r="F225" s="59">
        <v>-0.13</v>
      </c>
      <c r="G225" s="17">
        <v>13215116</v>
      </c>
      <c r="H225" s="18">
        <v>215</v>
      </c>
      <c r="I225" s="17">
        <v>2902328</v>
      </c>
      <c r="J225" s="59">
        <v>-0.37</v>
      </c>
      <c r="K225" s="54"/>
      <c r="L225" s="54"/>
      <c r="M225" s="54"/>
      <c r="N225" s="54"/>
      <c r="O225" s="54"/>
      <c r="P225" s="54"/>
      <c r="Q225" s="54"/>
      <c r="R225" s="54"/>
      <c r="S225" s="54"/>
    </row>
    <row r="226" spans="1:19" ht="15" customHeight="1" x14ac:dyDescent="0.3">
      <c r="A226" s="19">
        <v>224</v>
      </c>
      <c r="B226" s="19">
        <v>190</v>
      </c>
      <c r="C226" s="9" t="s">
        <v>414</v>
      </c>
      <c r="D226" s="9" t="s">
        <v>372</v>
      </c>
      <c r="E226" s="11">
        <v>488544</v>
      </c>
      <c r="F226" s="61">
        <v>-0.52400000000000002</v>
      </c>
      <c r="G226" s="11">
        <v>13190698</v>
      </c>
      <c r="H226" s="19">
        <v>216</v>
      </c>
      <c r="I226" s="11">
        <v>5193500</v>
      </c>
      <c r="J226" s="61">
        <v>-0.61</v>
      </c>
      <c r="K226" s="54"/>
      <c r="L226" s="54"/>
      <c r="M226" s="54"/>
      <c r="N226" s="54"/>
      <c r="O226" s="54"/>
      <c r="P226" s="54"/>
      <c r="Q226" s="54"/>
      <c r="R226" s="54"/>
      <c r="S226" s="54"/>
    </row>
    <row r="227" spans="1:19" ht="15" customHeight="1" x14ac:dyDescent="0.3">
      <c r="A227" s="18">
        <v>225</v>
      </c>
      <c r="B227" s="18" t="s">
        <v>282</v>
      </c>
      <c r="C227" s="15" t="s">
        <v>415</v>
      </c>
      <c r="D227" s="15" t="s">
        <v>366</v>
      </c>
      <c r="E227" s="17">
        <v>476471</v>
      </c>
      <c r="F227" s="59">
        <v>0</v>
      </c>
      <c r="G227" s="17">
        <v>16200000</v>
      </c>
      <c r="H227" s="18">
        <v>205</v>
      </c>
      <c r="I227" s="17">
        <v>0</v>
      </c>
      <c r="J227" s="59">
        <v>0</v>
      </c>
      <c r="K227" s="54"/>
      <c r="L227" s="54"/>
      <c r="M227" s="54"/>
      <c r="N227" s="54"/>
      <c r="O227" s="54"/>
      <c r="P227" s="54"/>
      <c r="Q227" s="54"/>
      <c r="R227" s="54"/>
      <c r="S227" s="54"/>
    </row>
    <row r="228" spans="1:19" ht="15" customHeight="1" x14ac:dyDescent="0.3">
      <c r="A228" s="19">
        <v>226</v>
      </c>
      <c r="B228" s="19">
        <v>220</v>
      </c>
      <c r="C228" s="9" t="s">
        <v>416</v>
      </c>
      <c r="D228" s="9" t="s">
        <v>372</v>
      </c>
      <c r="E228" s="11">
        <v>450474</v>
      </c>
      <c r="F228" s="61">
        <v>-0.112</v>
      </c>
      <c r="G228" s="11">
        <v>12162791</v>
      </c>
      <c r="H228" s="19">
        <v>219</v>
      </c>
      <c r="I228" s="11">
        <v>2536560</v>
      </c>
      <c r="J228" s="61">
        <v>-0.17</v>
      </c>
      <c r="K228" s="54"/>
      <c r="L228" s="54"/>
      <c r="M228" s="54"/>
      <c r="N228" s="54"/>
      <c r="O228" s="54"/>
      <c r="P228" s="54"/>
      <c r="Q228" s="54"/>
      <c r="R228" s="54"/>
      <c r="S228" s="54"/>
    </row>
    <row r="229" spans="1:19" ht="15" customHeight="1" x14ac:dyDescent="0.3">
      <c r="A229" s="18">
        <v>227</v>
      </c>
      <c r="B229" s="18">
        <v>224</v>
      </c>
      <c r="C229" s="15" t="s">
        <v>417</v>
      </c>
      <c r="D229" s="15" t="s">
        <v>372</v>
      </c>
      <c r="E229" s="17">
        <v>394488</v>
      </c>
      <c r="F229" s="59">
        <v>-1.0999999999999999E-2</v>
      </c>
      <c r="G229" s="17">
        <v>10651163</v>
      </c>
      <c r="H229" s="18">
        <v>224</v>
      </c>
      <c r="I229" s="17">
        <v>2862704</v>
      </c>
      <c r="J229" s="59">
        <v>-0.47</v>
      </c>
      <c r="K229" s="54"/>
      <c r="L229" s="54"/>
      <c r="M229" s="54"/>
      <c r="N229" s="54"/>
      <c r="O229" s="54"/>
      <c r="P229" s="54"/>
      <c r="Q229" s="54"/>
      <c r="R229" s="54"/>
      <c r="S229" s="54"/>
    </row>
    <row r="230" spans="1:19" ht="15" customHeight="1" x14ac:dyDescent="0.3">
      <c r="A230" s="19">
        <v>228</v>
      </c>
      <c r="B230" s="19">
        <v>225</v>
      </c>
      <c r="C230" s="9" t="s">
        <v>418</v>
      </c>
      <c r="D230" s="9" t="s">
        <v>404</v>
      </c>
      <c r="E230" s="11">
        <v>385644</v>
      </c>
      <c r="F230" s="61">
        <v>-6.0000000000000001E-3</v>
      </c>
      <c r="G230" s="11">
        <v>10798041</v>
      </c>
      <c r="H230" s="19">
        <v>223</v>
      </c>
      <c r="I230" s="11">
        <v>1576016</v>
      </c>
      <c r="J230" s="61">
        <v>1.61E-2</v>
      </c>
      <c r="K230" s="54"/>
      <c r="L230" s="54"/>
      <c r="M230" s="54"/>
      <c r="N230" s="54"/>
      <c r="O230" s="54"/>
      <c r="P230" s="54"/>
      <c r="Q230" s="54"/>
      <c r="R230" s="54"/>
      <c r="S230" s="54"/>
    </row>
    <row r="231" spans="1:19" ht="15" customHeight="1" x14ac:dyDescent="0.3">
      <c r="A231" s="18">
        <v>229</v>
      </c>
      <c r="B231" s="18" t="s">
        <v>282</v>
      </c>
      <c r="C231" s="15" t="s">
        <v>419</v>
      </c>
      <c r="D231" s="15" t="s">
        <v>366</v>
      </c>
      <c r="E231" s="17">
        <v>382353</v>
      </c>
      <c r="F231" s="59">
        <v>0</v>
      </c>
      <c r="G231" s="17">
        <v>13000000</v>
      </c>
      <c r="H231" s="18">
        <v>217</v>
      </c>
      <c r="I231" s="17">
        <v>0</v>
      </c>
      <c r="J231" s="59">
        <v>0</v>
      </c>
      <c r="K231" s="54"/>
      <c r="L231" s="54"/>
      <c r="M231" s="54"/>
      <c r="N231" s="54"/>
      <c r="O231" s="54"/>
      <c r="P231" s="54"/>
      <c r="Q231" s="54"/>
      <c r="R231" s="54"/>
      <c r="S231" s="54"/>
    </row>
    <row r="232" spans="1:19" ht="15" customHeight="1" x14ac:dyDescent="0.3">
      <c r="A232" s="19">
        <v>230</v>
      </c>
      <c r="B232" s="19">
        <v>248</v>
      </c>
      <c r="C232" s="9" t="s">
        <v>420</v>
      </c>
      <c r="D232" s="9" t="s">
        <v>404</v>
      </c>
      <c r="E232" s="11">
        <v>376546</v>
      </c>
      <c r="F232" s="61">
        <v>0.89600000000000002</v>
      </c>
      <c r="G232" s="11">
        <v>10166740</v>
      </c>
      <c r="H232" s="19">
        <v>226</v>
      </c>
      <c r="I232" s="11">
        <v>994708</v>
      </c>
      <c r="J232" s="61">
        <v>1.8700000000000001E-2</v>
      </c>
      <c r="K232" s="54"/>
      <c r="L232" s="54"/>
      <c r="M232" s="54"/>
      <c r="N232" s="54"/>
      <c r="O232" s="54"/>
      <c r="P232" s="54"/>
      <c r="Q232" s="54"/>
      <c r="R232" s="54"/>
      <c r="S232" s="54"/>
    </row>
    <row r="233" spans="1:19" ht="15" customHeight="1" x14ac:dyDescent="0.3">
      <c r="A233" s="18">
        <v>231</v>
      </c>
      <c r="B233" s="18">
        <v>226</v>
      </c>
      <c r="C233" s="15" t="s">
        <v>421</v>
      </c>
      <c r="D233" s="15" t="s">
        <v>404</v>
      </c>
      <c r="E233" s="17">
        <v>340847</v>
      </c>
      <c r="F233" s="59">
        <v>-1.4999999999999999E-2</v>
      </c>
      <c r="G233" s="17">
        <v>9884571</v>
      </c>
      <c r="H233" s="18">
        <v>227</v>
      </c>
      <c r="I233" s="17">
        <v>2043392</v>
      </c>
      <c r="J233" s="59">
        <v>-0.06</v>
      </c>
      <c r="K233" s="54"/>
      <c r="L233" s="54"/>
      <c r="M233" s="54"/>
      <c r="N233" s="54"/>
      <c r="O233" s="54"/>
      <c r="P233" s="54"/>
      <c r="Q233" s="54"/>
      <c r="R233" s="54"/>
      <c r="S233" s="54"/>
    </row>
    <row r="234" spans="1:19" ht="15" customHeight="1" x14ac:dyDescent="0.3">
      <c r="A234" s="19">
        <v>232</v>
      </c>
      <c r="B234" s="19">
        <v>223</v>
      </c>
      <c r="C234" s="9" t="s">
        <v>422</v>
      </c>
      <c r="D234" s="9" t="s">
        <v>354</v>
      </c>
      <c r="E234" s="11">
        <v>253245</v>
      </c>
      <c r="F234" s="61">
        <v>-0.40300000000000002</v>
      </c>
      <c r="G234" s="11">
        <v>6331113</v>
      </c>
      <c r="H234" s="19">
        <v>248</v>
      </c>
      <c r="I234" s="11">
        <v>1805232</v>
      </c>
      <c r="J234" s="61">
        <v>-0.34</v>
      </c>
      <c r="K234" s="54"/>
      <c r="L234" s="54"/>
      <c r="M234" s="54"/>
      <c r="N234" s="54"/>
      <c r="O234" s="54"/>
      <c r="P234" s="54"/>
      <c r="Q234" s="54"/>
      <c r="R234" s="54"/>
      <c r="S234" s="54"/>
    </row>
    <row r="235" spans="1:19" ht="15" customHeight="1" x14ac:dyDescent="0.3">
      <c r="A235" s="18">
        <v>233</v>
      </c>
      <c r="B235" s="18">
        <v>237</v>
      </c>
      <c r="C235" s="15" t="s">
        <v>423</v>
      </c>
      <c r="D235" s="15" t="s">
        <v>424</v>
      </c>
      <c r="E235" s="17">
        <v>250166</v>
      </c>
      <c r="F235" s="59">
        <v>0.17899999999999999</v>
      </c>
      <c r="G235" s="17">
        <v>9506302</v>
      </c>
      <c r="H235" s="18">
        <v>230</v>
      </c>
      <c r="I235" s="17">
        <v>0</v>
      </c>
      <c r="J235" s="59">
        <v>0</v>
      </c>
      <c r="K235" s="54"/>
      <c r="L235" s="54"/>
      <c r="M235" s="54"/>
      <c r="N235" s="54"/>
      <c r="O235" s="54"/>
      <c r="P235" s="54"/>
      <c r="Q235" s="54"/>
      <c r="R235" s="54"/>
      <c r="S235" s="54"/>
    </row>
    <row r="236" spans="1:19" ht="15" customHeight="1" x14ac:dyDescent="0.3">
      <c r="A236" s="19">
        <v>234</v>
      </c>
      <c r="B236" s="19">
        <v>232</v>
      </c>
      <c r="C236" s="9" t="s">
        <v>425</v>
      </c>
      <c r="D236" s="9" t="s">
        <v>424</v>
      </c>
      <c r="E236" s="11">
        <v>240617</v>
      </c>
      <c r="F236" s="61">
        <v>0.104</v>
      </c>
      <c r="G236" s="11">
        <v>9143454</v>
      </c>
      <c r="H236" s="19">
        <v>235</v>
      </c>
      <c r="I236" s="11">
        <v>0</v>
      </c>
      <c r="J236" s="61">
        <v>0</v>
      </c>
      <c r="K236" s="54"/>
      <c r="L236" s="54"/>
      <c r="M236" s="54"/>
      <c r="N236" s="54"/>
      <c r="O236" s="54"/>
      <c r="P236" s="54"/>
      <c r="Q236" s="54"/>
      <c r="R236" s="54"/>
      <c r="S236" s="54"/>
    </row>
    <row r="237" spans="1:19" ht="15" customHeight="1" x14ac:dyDescent="0.3">
      <c r="A237" s="18">
        <v>235</v>
      </c>
      <c r="B237" s="18">
        <v>228</v>
      </c>
      <c r="C237" s="15" t="s">
        <v>426</v>
      </c>
      <c r="D237" s="15" t="s">
        <v>354</v>
      </c>
      <c r="E237" s="17">
        <v>239624</v>
      </c>
      <c r="F237" s="59">
        <v>3.1E-2</v>
      </c>
      <c r="G237" s="17">
        <v>5990598</v>
      </c>
      <c r="H237" s="18">
        <v>251</v>
      </c>
      <c r="I237" s="17">
        <v>1241344</v>
      </c>
      <c r="J237" s="59">
        <v>-0.01</v>
      </c>
      <c r="K237" s="54"/>
      <c r="L237" s="54"/>
      <c r="M237" s="54"/>
      <c r="N237" s="54"/>
      <c r="O237" s="54"/>
      <c r="P237" s="54"/>
      <c r="Q237" s="54"/>
      <c r="R237" s="54"/>
      <c r="S237" s="54"/>
    </row>
    <row r="238" spans="1:19" ht="15" customHeight="1" x14ac:dyDescent="0.3">
      <c r="A238" s="19">
        <v>236</v>
      </c>
      <c r="B238" s="19">
        <v>227</v>
      </c>
      <c r="C238" s="9" t="s">
        <v>427</v>
      </c>
      <c r="D238" s="9" t="s">
        <v>424</v>
      </c>
      <c r="E238" s="11">
        <v>238939</v>
      </c>
      <c r="F238" s="61">
        <v>-3.0000000000000001E-3</v>
      </c>
      <c r="G238" s="11">
        <v>9557559</v>
      </c>
      <c r="H238" s="19">
        <v>228</v>
      </c>
      <c r="I238" s="11">
        <v>0</v>
      </c>
      <c r="J238" s="61">
        <v>0</v>
      </c>
      <c r="K238" s="54"/>
      <c r="L238" s="54"/>
      <c r="M238" s="54"/>
      <c r="N238" s="54"/>
      <c r="O238" s="54"/>
      <c r="P238" s="54"/>
      <c r="Q238" s="54"/>
      <c r="R238" s="54"/>
      <c r="S238" s="54"/>
    </row>
    <row r="239" spans="1:19" ht="15" customHeight="1" x14ac:dyDescent="0.3">
      <c r="A239" s="18">
        <v>237</v>
      </c>
      <c r="B239" s="18">
        <v>229</v>
      </c>
      <c r="C239" s="15" t="s">
        <v>428</v>
      </c>
      <c r="D239" s="15" t="s">
        <v>424</v>
      </c>
      <c r="E239" s="17">
        <v>230398</v>
      </c>
      <c r="F239" s="59">
        <v>1E-3</v>
      </c>
      <c r="G239" s="17">
        <v>9215910</v>
      </c>
      <c r="H239" s="18">
        <v>231</v>
      </c>
      <c r="I239" s="17">
        <v>0</v>
      </c>
      <c r="J239" s="59">
        <v>0</v>
      </c>
      <c r="K239" s="54"/>
      <c r="L239" s="54"/>
      <c r="M239" s="54"/>
      <c r="N239" s="54"/>
      <c r="O239" s="54"/>
      <c r="P239" s="54"/>
      <c r="Q239" s="54"/>
      <c r="R239" s="54"/>
      <c r="S239" s="54"/>
    </row>
    <row r="240" spans="1:19" ht="15" customHeight="1" x14ac:dyDescent="0.3">
      <c r="A240" s="19">
        <v>238</v>
      </c>
      <c r="B240" s="19">
        <v>239</v>
      </c>
      <c r="C240" s="9" t="s">
        <v>429</v>
      </c>
      <c r="D240" s="9" t="s">
        <v>424</v>
      </c>
      <c r="E240" s="11">
        <v>229685</v>
      </c>
      <c r="F240" s="61">
        <v>8.7999999999999995E-2</v>
      </c>
      <c r="G240" s="11">
        <v>9187380</v>
      </c>
      <c r="H240" s="19">
        <v>232</v>
      </c>
      <c r="I240" s="11">
        <v>0</v>
      </c>
      <c r="J240" s="61">
        <v>0</v>
      </c>
      <c r="K240" s="54"/>
      <c r="L240" s="54"/>
      <c r="M240" s="54"/>
      <c r="N240" s="54"/>
      <c r="O240" s="54"/>
      <c r="P240" s="54"/>
      <c r="Q240" s="54"/>
      <c r="R240" s="54"/>
      <c r="S240" s="54"/>
    </row>
    <row r="241" spans="1:19" ht="15" customHeight="1" x14ac:dyDescent="0.3">
      <c r="A241" s="18">
        <v>239</v>
      </c>
      <c r="B241" s="18">
        <v>234</v>
      </c>
      <c r="C241" s="15" t="s">
        <v>430</v>
      </c>
      <c r="D241" s="15" t="s">
        <v>424</v>
      </c>
      <c r="E241" s="17">
        <v>229473</v>
      </c>
      <c r="F241" s="59">
        <v>7.1999999999999995E-2</v>
      </c>
      <c r="G241" s="17">
        <v>9178916</v>
      </c>
      <c r="H241" s="18">
        <v>233</v>
      </c>
      <c r="I241" s="17">
        <v>0</v>
      </c>
      <c r="J241" s="59">
        <v>0</v>
      </c>
      <c r="K241" s="54"/>
      <c r="L241" s="54"/>
      <c r="M241" s="54"/>
      <c r="N241" s="54"/>
      <c r="O241" s="54"/>
      <c r="P241" s="54"/>
      <c r="Q241" s="54"/>
      <c r="R241" s="54"/>
      <c r="S241" s="54"/>
    </row>
    <row r="242" spans="1:19" ht="15" customHeight="1" x14ac:dyDescent="0.3">
      <c r="A242" s="19">
        <v>240</v>
      </c>
      <c r="B242" s="19">
        <v>233</v>
      </c>
      <c r="C242" s="9" t="s">
        <v>431</v>
      </c>
      <c r="D242" s="9" t="s">
        <v>424</v>
      </c>
      <c r="E242" s="11">
        <v>228950</v>
      </c>
      <c r="F242" s="61">
        <v>6.2E-2</v>
      </c>
      <c r="G242" s="11">
        <v>9157994</v>
      </c>
      <c r="H242" s="19">
        <v>234</v>
      </c>
      <c r="I242" s="11">
        <v>0</v>
      </c>
      <c r="J242" s="61">
        <v>0</v>
      </c>
      <c r="K242" s="54"/>
      <c r="L242" s="54"/>
      <c r="M242" s="54"/>
      <c r="N242" s="54"/>
      <c r="O242" s="54"/>
      <c r="P242" s="54"/>
      <c r="Q242" s="54"/>
      <c r="R242" s="54"/>
      <c r="S242" s="54"/>
    </row>
    <row r="243" spans="1:19" ht="15" customHeight="1" x14ac:dyDescent="0.3">
      <c r="A243" s="18">
        <v>241</v>
      </c>
      <c r="B243" s="18">
        <v>242</v>
      </c>
      <c r="C243" s="15" t="s">
        <v>432</v>
      </c>
      <c r="D243" s="15" t="s">
        <v>424</v>
      </c>
      <c r="E243" s="17">
        <v>228500</v>
      </c>
      <c r="F243" s="59">
        <v>9.0999999999999998E-2</v>
      </c>
      <c r="G243" s="17">
        <v>9140013</v>
      </c>
      <c r="H243" s="18">
        <v>236</v>
      </c>
      <c r="I243" s="17">
        <v>0</v>
      </c>
      <c r="J243" s="59">
        <v>0</v>
      </c>
      <c r="K243" s="54"/>
      <c r="L243" s="54"/>
      <c r="M243" s="54"/>
      <c r="N243" s="54"/>
      <c r="O243" s="54"/>
      <c r="P243" s="54"/>
      <c r="Q243" s="54"/>
      <c r="R243" s="54"/>
      <c r="S243" s="54"/>
    </row>
    <row r="244" spans="1:19" ht="15" customHeight="1" x14ac:dyDescent="0.3">
      <c r="A244" s="19">
        <v>242</v>
      </c>
      <c r="B244" s="19">
        <v>235</v>
      </c>
      <c r="C244" s="9" t="s">
        <v>433</v>
      </c>
      <c r="D244" s="9" t="s">
        <v>424</v>
      </c>
      <c r="E244" s="11">
        <v>228024</v>
      </c>
      <c r="F244" s="61">
        <v>7.1999999999999995E-2</v>
      </c>
      <c r="G244" s="11">
        <v>9120956</v>
      </c>
      <c r="H244" s="19">
        <v>237</v>
      </c>
      <c r="I244" s="11">
        <v>0</v>
      </c>
      <c r="J244" s="61">
        <v>0</v>
      </c>
      <c r="K244" s="54"/>
      <c r="L244" s="54"/>
      <c r="M244" s="54"/>
      <c r="N244" s="54"/>
      <c r="O244" s="54"/>
      <c r="P244" s="54"/>
      <c r="Q244" s="54"/>
      <c r="R244" s="54"/>
      <c r="S244" s="54"/>
    </row>
    <row r="245" spans="1:19" ht="15" customHeight="1" x14ac:dyDescent="0.3">
      <c r="A245" s="18">
        <v>243</v>
      </c>
      <c r="B245" s="18">
        <v>236</v>
      </c>
      <c r="C245" s="15" t="s">
        <v>434</v>
      </c>
      <c r="D245" s="15" t="s">
        <v>424</v>
      </c>
      <c r="E245" s="17">
        <v>228013</v>
      </c>
      <c r="F245" s="59">
        <v>7.1999999999999995E-2</v>
      </c>
      <c r="G245" s="17">
        <v>9120516</v>
      </c>
      <c r="H245" s="18">
        <v>238</v>
      </c>
      <c r="I245" s="17">
        <v>0</v>
      </c>
      <c r="J245" s="59">
        <v>0</v>
      </c>
      <c r="K245" s="54"/>
      <c r="L245" s="54"/>
      <c r="M245" s="54"/>
      <c r="N245" s="54"/>
      <c r="O245" s="54"/>
      <c r="P245" s="54"/>
      <c r="Q245" s="54"/>
      <c r="R245" s="54"/>
      <c r="S245" s="54"/>
    </row>
    <row r="246" spans="1:19" ht="15" customHeight="1" x14ac:dyDescent="0.3">
      <c r="A246" s="19">
        <v>244</v>
      </c>
      <c r="B246" s="19">
        <v>238</v>
      </c>
      <c r="C246" s="9" t="s">
        <v>435</v>
      </c>
      <c r="D246" s="9" t="s">
        <v>424</v>
      </c>
      <c r="E246" s="11">
        <v>227995</v>
      </c>
      <c r="F246" s="61">
        <v>7.4999999999999997E-2</v>
      </c>
      <c r="G246" s="11">
        <v>9119798</v>
      </c>
      <c r="H246" s="19">
        <v>239</v>
      </c>
      <c r="I246" s="11">
        <v>0</v>
      </c>
      <c r="J246" s="61">
        <v>0</v>
      </c>
      <c r="K246" s="54"/>
      <c r="L246" s="54"/>
      <c r="M246" s="54"/>
      <c r="N246" s="54"/>
      <c r="O246" s="54"/>
      <c r="P246" s="54"/>
      <c r="Q246" s="54"/>
      <c r="R246" s="54"/>
      <c r="S246" s="54"/>
    </row>
    <row r="247" spans="1:19" ht="15" customHeight="1" x14ac:dyDescent="0.3">
      <c r="A247" s="18">
        <v>245</v>
      </c>
      <c r="B247" s="18">
        <v>231</v>
      </c>
      <c r="C247" s="15" t="s">
        <v>436</v>
      </c>
      <c r="D247" s="15" t="s">
        <v>424</v>
      </c>
      <c r="E247" s="17">
        <v>227646</v>
      </c>
      <c r="F247" s="59">
        <v>2.4E-2</v>
      </c>
      <c r="G247" s="17">
        <v>9105835</v>
      </c>
      <c r="H247" s="18">
        <v>240</v>
      </c>
      <c r="I247" s="17">
        <v>0</v>
      </c>
      <c r="J247" s="59">
        <v>0</v>
      </c>
      <c r="K247" s="54"/>
      <c r="L247" s="54"/>
      <c r="M247" s="54"/>
      <c r="N247" s="54"/>
      <c r="O247" s="54"/>
      <c r="P247" s="54"/>
      <c r="Q247" s="54"/>
      <c r="R247" s="54"/>
      <c r="S247" s="54"/>
    </row>
    <row r="248" spans="1:19" ht="15" customHeight="1" x14ac:dyDescent="0.3">
      <c r="A248" s="19">
        <v>246</v>
      </c>
      <c r="B248" s="19">
        <v>241</v>
      </c>
      <c r="C248" s="9" t="s">
        <v>437</v>
      </c>
      <c r="D248" s="9" t="s">
        <v>424</v>
      </c>
      <c r="E248" s="11">
        <v>227535</v>
      </c>
      <c r="F248" s="61">
        <v>8.6999999999999994E-2</v>
      </c>
      <c r="G248" s="11">
        <v>9101393</v>
      </c>
      <c r="H248" s="19">
        <v>241</v>
      </c>
      <c r="I248" s="11">
        <v>0</v>
      </c>
      <c r="J248" s="61">
        <v>0</v>
      </c>
      <c r="K248" s="54"/>
      <c r="L248" s="54"/>
      <c r="M248" s="54"/>
      <c r="N248" s="54"/>
      <c r="O248" s="54"/>
      <c r="P248" s="54"/>
      <c r="Q248" s="54"/>
      <c r="R248" s="54"/>
      <c r="S248" s="54"/>
    </row>
    <row r="249" spans="1:19" ht="15" customHeight="1" x14ac:dyDescent="0.3">
      <c r="A249" s="18">
        <v>247</v>
      </c>
      <c r="B249" s="18">
        <v>240</v>
      </c>
      <c r="C249" s="15" t="s">
        <v>438</v>
      </c>
      <c r="D249" s="15" t="s">
        <v>424</v>
      </c>
      <c r="E249" s="17">
        <v>226193</v>
      </c>
      <c r="F249" s="59">
        <v>0.08</v>
      </c>
      <c r="G249" s="17">
        <v>9047738</v>
      </c>
      <c r="H249" s="18">
        <v>242</v>
      </c>
      <c r="I249" s="17">
        <v>0</v>
      </c>
      <c r="J249" s="59">
        <v>0</v>
      </c>
      <c r="K249" s="54"/>
      <c r="L249" s="54"/>
      <c r="M249" s="54"/>
      <c r="N249" s="54"/>
      <c r="O249" s="54"/>
      <c r="P249" s="54"/>
      <c r="Q249" s="54"/>
      <c r="R249" s="54"/>
      <c r="S249" s="54"/>
    </row>
    <row r="250" spans="1:19" ht="15" customHeight="1" x14ac:dyDescent="0.3">
      <c r="A250" s="19">
        <v>248</v>
      </c>
      <c r="B250" s="19">
        <v>244</v>
      </c>
      <c r="C250" s="9" t="s">
        <v>439</v>
      </c>
      <c r="D250" s="9" t="s">
        <v>424</v>
      </c>
      <c r="E250" s="11">
        <v>224107</v>
      </c>
      <c r="F250" s="61">
        <v>8.1000000000000003E-2</v>
      </c>
      <c r="G250" s="11">
        <v>8964283</v>
      </c>
      <c r="H250" s="19">
        <v>243</v>
      </c>
      <c r="I250" s="11">
        <v>0</v>
      </c>
      <c r="J250" s="61">
        <v>0</v>
      </c>
      <c r="K250" s="54"/>
      <c r="L250" s="54"/>
      <c r="M250" s="54"/>
      <c r="N250" s="54"/>
      <c r="O250" s="54"/>
      <c r="P250" s="54"/>
      <c r="Q250" s="54"/>
      <c r="R250" s="54"/>
      <c r="S250" s="54"/>
    </row>
    <row r="251" spans="1:19" ht="15" customHeight="1" x14ac:dyDescent="0.3">
      <c r="A251" s="18">
        <v>249</v>
      </c>
      <c r="B251" s="18">
        <v>246</v>
      </c>
      <c r="C251" s="15" t="s">
        <v>440</v>
      </c>
      <c r="D251" s="15" t="s">
        <v>424</v>
      </c>
      <c r="E251" s="17">
        <v>215098</v>
      </c>
      <c r="F251" s="59">
        <v>5.7000000000000002E-2</v>
      </c>
      <c r="G251" s="17">
        <v>8603909</v>
      </c>
      <c r="H251" s="18">
        <v>244</v>
      </c>
      <c r="I251" s="17">
        <v>0</v>
      </c>
      <c r="J251" s="59">
        <v>0</v>
      </c>
      <c r="K251" s="54"/>
      <c r="L251" s="54"/>
      <c r="M251" s="54"/>
      <c r="N251" s="54"/>
      <c r="O251" s="54"/>
      <c r="P251" s="54"/>
      <c r="Q251" s="54"/>
      <c r="R251" s="54"/>
      <c r="S251" s="54"/>
    </row>
    <row r="252" spans="1:19" ht="15" customHeight="1" x14ac:dyDescent="0.3">
      <c r="A252" s="19">
        <v>250</v>
      </c>
      <c r="B252" s="19">
        <v>243</v>
      </c>
      <c r="C252" s="9" t="s">
        <v>441</v>
      </c>
      <c r="D252" s="9" t="s">
        <v>424</v>
      </c>
      <c r="E252" s="11">
        <v>212663</v>
      </c>
      <c r="F252" s="61">
        <v>2.3E-2</v>
      </c>
      <c r="G252" s="11">
        <v>8506534</v>
      </c>
      <c r="H252" s="19">
        <v>245</v>
      </c>
      <c r="I252" s="11">
        <v>0</v>
      </c>
      <c r="J252" s="61">
        <v>0</v>
      </c>
      <c r="K252" s="54"/>
      <c r="L252" s="54"/>
      <c r="M252" s="54"/>
      <c r="N252" s="54"/>
      <c r="O252" s="54"/>
      <c r="P252" s="54"/>
      <c r="Q252" s="54"/>
      <c r="R252" s="54"/>
      <c r="S252" s="54"/>
    </row>
    <row r="253" spans="1:19" ht="15" customHeight="1" x14ac:dyDescent="0.3">
      <c r="A253" s="18">
        <v>251</v>
      </c>
      <c r="B253" s="18">
        <v>245</v>
      </c>
      <c r="C253" s="15" t="s">
        <v>442</v>
      </c>
      <c r="D253" s="15" t="s">
        <v>424</v>
      </c>
      <c r="E253" s="17">
        <v>210229</v>
      </c>
      <c r="F253" s="59">
        <v>1.7000000000000001E-2</v>
      </c>
      <c r="G253" s="17">
        <v>8409159</v>
      </c>
      <c r="H253" s="18">
        <v>246</v>
      </c>
      <c r="I253" s="17">
        <v>0</v>
      </c>
      <c r="J253" s="59">
        <v>0</v>
      </c>
      <c r="K253" s="54"/>
      <c r="L253" s="54"/>
      <c r="M253" s="54"/>
      <c r="N253" s="54"/>
      <c r="O253" s="54"/>
      <c r="P253" s="54"/>
      <c r="Q253" s="54"/>
      <c r="R253" s="54"/>
      <c r="S253" s="54"/>
    </row>
    <row r="254" spans="1:19" ht="15" customHeight="1" x14ac:dyDescent="0.3">
      <c r="A254" s="19">
        <v>252</v>
      </c>
      <c r="B254" s="19">
        <v>230</v>
      </c>
      <c r="C254" s="9" t="s">
        <v>443</v>
      </c>
      <c r="D254" s="9" t="s">
        <v>354</v>
      </c>
      <c r="E254" s="11">
        <v>202669</v>
      </c>
      <c r="F254" s="61">
        <v>-9.6000000000000002E-2</v>
      </c>
      <c r="G254" s="11">
        <v>5066729</v>
      </c>
      <c r="H254" s="19">
        <v>257</v>
      </c>
      <c r="I254" s="11">
        <v>1356888</v>
      </c>
      <c r="J254" s="61">
        <v>0.15</v>
      </c>
      <c r="K254" s="54"/>
      <c r="L254" s="54"/>
      <c r="M254" s="54"/>
      <c r="N254" s="54"/>
      <c r="O254" s="54"/>
      <c r="P254" s="54"/>
      <c r="Q254" s="54"/>
      <c r="R254" s="54"/>
      <c r="S254" s="54"/>
    </row>
    <row r="255" spans="1:19" ht="15" customHeight="1" x14ac:dyDescent="0.3">
      <c r="A255" s="18">
        <v>253</v>
      </c>
      <c r="B255" s="18">
        <v>249</v>
      </c>
      <c r="C255" s="15" t="s">
        <v>444</v>
      </c>
      <c r="D255" s="15" t="s">
        <v>404</v>
      </c>
      <c r="E255" s="17">
        <v>199219</v>
      </c>
      <c r="F255" s="59">
        <v>5.5E-2</v>
      </c>
      <c r="G255" s="17">
        <v>5179693</v>
      </c>
      <c r="H255" s="18">
        <v>256</v>
      </c>
      <c r="I255" s="17">
        <v>0</v>
      </c>
      <c r="J255" s="59">
        <v>0</v>
      </c>
      <c r="K255" s="54"/>
      <c r="L255" s="54"/>
      <c r="M255" s="54"/>
      <c r="N255" s="54"/>
      <c r="O255" s="54"/>
      <c r="P255" s="54"/>
      <c r="Q255" s="54"/>
      <c r="R255" s="54"/>
      <c r="S255" s="54"/>
    </row>
    <row r="256" spans="1:19" ht="15" customHeight="1" x14ac:dyDescent="0.3">
      <c r="A256" s="19">
        <v>254</v>
      </c>
      <c r="B256" s="19" t="s">
        <v>282</v>
      </c>
      <c r="C256" s="9" t="s">
        <v>445</v>
      </c>
      <c r="D256" s="9" t="s">
        <v>366</v>
      </c>
      <c r="E256" s="11">
        <v>191176</v>
      </c>
      <c r="F256" s="61">
        <v>0</v>
      </c>
      <c r="G256" s="11">
        <v>6500000</v>
      </c>
      <c r="H256" s="19">
        <v>247</v>
      </c>
      <c r="I256" s="11">
        <v>0</v>
      </c>
      <c r="J256" s="61">
        <v>0</v>
      </c>
      <c r="K256" s="54"/>
      <c r="L256" s="54"/>
      <c r="M256" s="54"/>
      <c r="N256" s="54"/>
      <c r="O256" s="54"/>
      <c r="P256" s="54"/>
      <c r="Q256" s="54"/>
      <c r="R256" s="54"/>
      <c r="S256" s="54"/>
    </row>
    <row r="257" spans="1:19" ht="15" customHeight="1" x14ac:dyDescent="0.3">
      <c r="A257" s="18">
        <v>255</v>
      </c>
      <c r="B257" s="18">
        <v>254</v>
      </c>
      <c r="C257" s="15" t="s">
        <v>446</v>
      </c>
      <c r="D257" s="15" t="s">
        <v>404</v>
      </c>
      <c r="E257" s="17">
        <v>181843</v>
      </c>
      <c r="F257" s="59">
        <v>0.13400000000000001</v>
      </c>
      <c r="G257" s="17">
        <v>4727924</v>
      </c>
      <c r="H257" s="18">
        <v>261</v>
      </c>
      <c r="I257" s="17">
        <v>0</v>
      </c>
      <c r="J257" s="59">
        <v>0</v>
      </c>
      <c r="K257" s="54"/>
      <c r="L257" s="54"/>
      <c r="M257" s="54"/>
      <c r="N257" s="54"/>
      <c r="O257" s="54"/>
      <c r="P257" s="54"/>
      <c r="Q257" s="54"/>
      <c r="R257" s="54"/>
      <c r="S257" s="54"/>
    </row>
    <row r="258" spans="1:19" ht="15" customHeight="1" x14ac:dyDescent="0.3">
      <c r="A258" s="19">
        <v>256</v>
      </c>
      <c r="B258" s="19" t="s">
        <v>282</v>
      </c>
      <c r="C258" s="9" t="s">
        <v>447</v>
      </c>
      <c r="D258" s="9" t="s">
        <v>366</v>
      </c>
      <c r="E258" s="11">
        <v>170588</v>
      </c>
      <c r="F258" s="61">
        <v>0</v>
      </c>
      <c r="G258" s="11">
        <v>5800000</v>
      </c>
      <c r="H258" s="19">
        <v>252</v>
      </c>
      <c r="I258" s="11">
        <v>0</v>
      </c>
      <c r="J258" s="61">
        <v>0</v>
      </c>
      <c r="K258" s="54"/>
      <c r="L258" s="54"/>
      <c r="M258" s="54"/>
      <c r="N258" s="54"/>
      <c r="O258" s="54"/>
      <c r="P258" s="54"/>
      <c r="Q258" s="54"/>
      <c r="R258" s="54"/>
      <c r="S258" s="54"/>
    </row>
    <row r="259" spans="1:19" ht="15" customHeight="1" x14ac:dyDescent="0.3">
      <c r="A259" s="18">
        <v>257</v>
      </c>
      <c r="B259" s="18">
        <v>247</v>
      </c>
      <c r="C259" s="15" t="s">
        <v>448</v>
      </c>
      <c r="D259" s="15" t="s">
        <v>354</v>
      </c>
      <c r="E259" s="17">
        <v>167842</v>
      </c>
      <c r="F259" s="59">
        <v>-0.16200000000000001</v>
      </c>
      <c r="G259" s="17">
        <v>4196057</v>
      </c>
      <c r="H259" s="18">
        <v>269</v>
      </c>
      <c r="I259" s="17">
        <v>872820</v>
      </c>
      <c r="J259" s="59">
        <v>0.31</v>
      </c>
      <c r="K259" s="54"/>
      <c r="L259" s="54"/>
      <c r="M259" s="54"/>
      <c r="N259" s="54"/>
      <c r="O259" s="54"/>
      <c r="P259" s="54"/>
      <c r="Q259" s="54"/>
      <c r="R259" s="54"/>
      <c r="S259" s="54"/>
    </row>
    <row r="260" spans="1:19" ht="15" customHeight="1" x14ac:dyDescent="0.3">
      <c r="A260" s="19">
        <v>258</v>
      </c>
      <c r="B260" s="19" t="s">
        <v>282</v>
      </c>
      <c r="C260" s="9" t="s">
        <v>449</v>
      </c>
      <c r="D260" s="9" t="s">
        <v>366</v>
      </c>
      <c r="E260" s="11">
        <v>167647</v>
      </c>
      <c r="F260" s="61">
        <v>0</v>
      </c>
      <c r="G260" s="11">
        <v>5700000</v>
      </c>
      <c r="H260" s="19">
        <v>253</v>
      </c>
      <c r="I260" s="11">
        <v>0</v>
      </c>
      <c r="J260" s="61">
        <v>0</v>
      </c>
      <c r="K260" s="54"/>
      <c r="L260" s="54"/>
      <c r="M260" s="54"/>
      <c r="N260" s="54"/>
      <c r="O260" s="54"/>
      <c r="P260" s="54"/>
      <c r="Q260" s="54"/>
      <c r="R260" s="54"/>
      <c r="S260" s="54"/>
    </row>
    <row r="261" spans="1:19" ht="15" customHeight="1" x14ac:dyDescent="0.3">
      <c r="A261" s="18">
        <v>259</v>
      </c>
      <c r="B261" s="18" t="s">
        <v>282</v>
      </c>
      <c r="C261" s="15" t="s">
        <v>450</v>
      </c>
      <c r="D261" s="15" t="s">
        <v>366</v>
      </c>
      <c r="E261" s="17">
        <v>164118</v>
      </c>
      <c r="F261" s="59">
        <v>0</v>
      </c>
      <c r="G261" s="17">
        <v>5580000</v>
      </c>
      <c r="H261" s="18">
        <v>254</v>
      </c>
      <c r="I261" s="17">
        <v>0</v>
      </c>
      <c r="J261" s="59">
        <v>0</v>
      </c>
      <c r="K261" s="54"/>
      <c r="L261" s="54"/>
      <c r="M261" s="54"/>
      <c r="N261" s="54"/>
      <c r="O261" s="54"/>
      <c r="P261" s="54"/>
      <c r="Q261" s="54"/>
      <c r="R261" s="54"/>
      <c r="S261" s="54"/>
    </row>
    <row r="262" spans="1:19" ht="15" customHeight="1" x14ac:dyDescent="0.3">
      <c r="A262" s="19">
        <v>260</v>
      </c>
      <c r="B262" s="19">
        <v>262</v>
      </c>
      <c r="C262" s="9" t="s">
        <v>451</v>
      </c>
      <c r="D262" s="9" t="s">
        <v>404</v>
      </c>
      <c r="E262" s="11">
        <v>163259</v>
      </c>
      <c r="F262" s="61">
        <v>0.32800000000000001</v>
      </c>
      <c r="G262" s="11">
        <v>4244737</v>
      </c>
      <c r="H262" s="19">
        <v>265</v>
      </c>
      <c r="I262" s="11">
        <v>0</v>
      </c>
      <c r="J262" s="61">
        <v>0</v>
      </c>
      <c r="K262" s="54"/>
      <c r="L262" s="54"/>
      <c r="M262" s="54"/>
      <c r="N262" s="54"/>
      <c r="O262" s="54"/>
      <c r="P262" s="54"/>
      <c r="Q262" s="54"/>
      <c r="R262" s="54"/>
      <c r="S262" s="54"/>
    </row>
    <row r="263" spans="1:19" ht="15" customHeight="1" x14ac:dyDescent="0.3">
      <c r="A263" s="18">
        <v>261</v>
      </c>
      <c r="B263" s="18" t="s">
        <v>282</v>
      </c>
      <c r="C263" s="15" t="s">
        <v>452</v>
      </c>
      <c r="D263" s="15" t="s">
        <v>366</v>
      </c>
      <c r="E263" s="17">
        <v>159529</v>
      </c>
      <c r="F263" s="59">
        <v>0</v>
      </c>
      <c r="G263" s="17">
        <v>5424000</v>
      </c>
      <c r="H263" s="18">
        <v>255</v>
      </c>
      <c r="I263" s="17">
        <v>0</v>
      </c>
      <c r="J263" s="59">
        <v>0</v>
      </c>
      <c r="K263" s="54"/>
      <c r="L263" s="54"/>
      <c r="M263" s="54"/>
      <c r="N263" s="54"/>
      <c r="O263" s="54"/>
      <c r="P263" s="54"/>
      <c r="Q263" s="54"/>
      <c r="R263" s="54"/>
      <c r="S263" s="54"/>
    </row>
    <row r="264" spans="1:19" ht="15" customHeight="1" x14ac:dyDescent="0.3">
      <c r="A264" s="19">
        <v>262</v>
      </c>
      <c r="B264" s="19">
        <v>256</v>
      </c>
      <c r="C264" s="9" t="s">
        <v>453</v>
      </c>
      <c r="D264" s="9" t="s">
        <v>404</v>
      </c>
      <c r="E264" s="11">
        <v>157131</v>
      </c>
      <c r="F264" s="61">
        <v>5.0999999999999997E-2</v>
      </c>
      <c r="G264" s="11">
        <v>4085412</v>
      </c>
      <c r="H264" s="19">
        <v>272</v>
      </c>
      <c r="I264" s="11">
        <v>897624</v>
      </c>
      <c r="J264" s="61">
        <v>-0.27</v>
      </c>
      <c r="K264" s="54"/>
      <c r="L264" s="54"/>
      <c r="M264" s="54"/>
      <c r="N264" s="54"/>
      <c r="O264" s="54"/>
      <c r="P264" s="54"/>
      <c r="Q264" s="54"/>
      <c r="R264" s="54"/>
      <c r="S264" s="54"/>
    </row>
    <row r="265" spans="1:19" ht="15" customHeight="1" x14ac:dyDescent="0.3">
      <c r="A265" s="18">
        <v>263</v>
      </c>
      <c r="B265" s="18">
        <v>251</v>
      </c>
      <c r="C265" s="15" t="s">
        <v>454</v>
      </c>
      <c r="D265" s="15" t="s">
        <v>354</v>
      </c>
      <c r="E265" s="17">
        <v>149893</v>
      </c>
      <c r="F265" s="59">
        <v>-0.17599999999999999</v>
      </c>
      <c r="G265" s="17">
        <v>3747335</v>
      </c>
      <c r="H265" s="18">
        <v>275</v>
      </c>
      <c r="I265" s="17">
        <v>854672</v>
      </c>
      <c r="J265" s="59">
        <v>0.11</v>
      </c>
      <c r="K265" s="54"/>
      <c r="L265" s="54"/>
      <c r="M265" s="54"/>
      <c r="N265" s="54"/>
      <c r="O265" s="54"/>
      <c r="P265" s="54"/>
      <c r="Q265" s="54"/>
      <c r="R265" s="54"/>
      <c r="S265" s="54"/>
    </row>
    <row r="266" spans="1:19" ht="15" customHeight="1" x14ac:dyDescent="0.3">
      <c r="A266" s="19">
        <v>264</v>
      </c>
      <c r="B266" s="19" t="s">
        <v>282</v>
      </c>
      <c r="C266" s="9" t="s">
        <v>455</v>
      </c>
      <c r="D266" s="9" t="s">
        <v>366</v>
      </c>
      <c r="E266" s="11">
        <v>142353</v>
      </c>
      <c r="F266" s="61">
        <v>0</v>
      </c>
      <c r="G266" s="11">
        <v>4840000</v>
      </c>
      <c r="H266" s="19">
        <v>259</v>
      </c>
      <c r="I266" s="11">
        <v>0</v>
      </c>
      <c r="J266" s="61">
        <v>0</v>
      </c>
      <c r="K266" s="54"/>
      <c r="L266" s="54"/>
      <c r="M266" s="54"/>
      <c r="N266" s="54"/>
      <c r="O266" s="54"/>
      <c r="P266" s="54"/>
      <c r="Q266" s="54"/>
      <c r="R266" s="54"/>
      <c r="S266" s="54"/>
    </row>
    <row r="267" spans="1:19" ht="15" customHeight="1" x14ac:dyDescent="0.3">
      <c r="A267" s="18">
        <v>265</v>
      </c>
      <c r="B267" s="18">
        <v>268</v>
      </c>
      <c r="C267" s="15" t="s">
        <v>456</v>
      </c>
      <c r="D267" s="15" t="s">
        <v>404</v>
      </c>
      <c r="E267" s="17">
        <v>140586</v>
      </c>
      <c r="F267" s="59">
        <v>0.251</v>
      </c>
      <c r="G267" s="17">
        <v>3795819</v>
      </c>
      <c r="H267" s="18">
        <v>273</v>
      </c>
      <c r="I267" s="17">
        <v>570700</v>
      </c>
      <c r="J267" s="59">
        <v>0.53</v>
      </c>
      <c r="K267" s="54"/>
      <c r="L267" s="54"/>
      <c r="M267" s="54"/>
      <c r="N267" s="54"/>
      <c r="O267" s="54"/>
      <c r="P267" s="54"/>
      <c r="Q267" s="54"/>
      <c r="R267" s="54"/>
      <c r="S267" s="54"/>
    </row>
    <row r="268" spans="1:19" ht="15" customHeight="1" x14ac:dyDescent="0.3">
      <c r="A268" s="19">
        <v>266</v>
      </c>
      <c r="B268" s="19">
        <v>260</v>
      </c>
      <c r="C268" s="9" t="s">
        <v>457</v>
      </c>
      <c r="D268" s="9" t="s">
        <v>404</v>
      </c>
      <c r="E268" s="11">
        <v>134364</v>
      </c>
      <c r="F268" s="61">
        <v>1.6E-2</v>
      </c>
      <c r="G268" s="11">
        <v>3762180</v>
      </c>
      <c r="H268" s="19">
        <v>274</v>
      </c>
      <c r="I268" s="11">
        <v>0</v>
      </c>
      <c r="J268" s="61">
        <v>0</v>
      </c>
      <c r="K268" s="54"/>
      <c r="L268" s="54"/>
      <c r="M268" s="54"/>
      <c r="N268" s="54"/>
      <c r="O268" s="54"/>
      <c r="P268" s="54"/>
      <c r="Q268" s="54"/>
      <c r="R268" s="54"/>
      <c r="S268" s="54"/>
    </row>
    <row r="269" spans="1:19" ht="15" customHeight="1" x14ac:dyDescent="0.3">
      <c r="A269" s="18">
        <v>267</v>
      </c>
      <c r="B269" s="18">
        <v>263</v>
      </c>
      <c r="C269" s="15" t="s">
        <v>458</v>
      </c>
      <c r="D269" s="15" t="s">
        <v>404</v>
      </c>
      <c r="E269" s="17">
        <v>133110</v>
      </c>
      <c r="F269" s="59">
        <v>9.5000000000000001E-2</v>
      </c>
      <c r="G269" s="17">
        <v>3593965</v>
      </c>
      <c r="H269" s="18">
        <v>277</v>
      </c>
      <c r="I269" s="17">
        <v>598364</v>
      </c>
      <c r="J269" s="59">
        <v>0.51</v>
      </c>
      <c r="K269" s="54"/>
      <c r="L269" s="54"/>
      <c r="M269" s="54"/>
      <c r="N269" s="54"/>
      <c r="O269" s="54"/>
      <c r="P269" s="54"/>
      <c r="Q269" s="54"/>
      <c r="R269" s="54"/>
      <c r="S269" s="54"/>
    </row>
    <row r="270" spans="1:19" ht="15" customHeight="1" x14ac:dyDescent="0.3">
      <c r="A270" s="19">
        <v>268</v>
      </c>
      <c r="B270" s="19">
        <v>259</v>
      </c>
      <c r="C270" s="9" t="s">
        <v>459</v>
      </c>
      <c r="D270" s="9" t="s">
        <v>404</v>
      </c>
      <c r="E270" s="11">
        <v>128203</v>
      </c>
      <c r="F270" s="61">
        <v>-5.0999999999999997E-2</v>
      </c>
      <c r="G270" s="11">
        <v>3205068</v>
      </c>
      <c r="H270" s="19">
        <v>282</v>
      </c>
      <c r="I270" s="11">
        <v>623324</v>
      </c>
      <c r="J270" s="61">
        <v>0.27</v>
      </c>
      <c r="K270" s="54"/>
      <c r="L270" s="54"/>
      <c r="M270" s="54"/>
      <c r="N270" s="54"/>
      <c r="O270" s="54"/>
      <c r="P270" s="54"/>
      <c r="Q270" s="54"/>
      <c r="R270" s="54"/>
      <c r="S270" s="54"/>
    </row>
    <row r="271" spans="1:19" ht="15" customHeight="1" x14ac:dyDescent="0.3">
      <c r="A271" s="18">
        <v>269</v>
      </c>
      <c r="B271" s="18">
        <v>258</v>
      </c>
      <c r="C271" s="15" t="s">
        <v>460</v>
      </c>
      <c r="D271" s="15" t="s">
        <v>404</v>
      </c>
      <c r="E271" s="17">
        <v>126912</v>
      </c>
      <c r="F271" s="59">
        <v>-0.09</v>
      </c>
      <c r="G271" s="17">
        <v>3299713</v>
      </c>
      <c r="H271" s="18">
        <v>279</v>
      </c>
      <c r="I271" s="17">
        <v>631592</v>
      </c>
      <c r="J271" s="59">
        <v>0.12</v>
      </c>
      <c r="K271" s="54"/>
      <c r="L271" s="54"/>
      <c r="M271" s="54"/>
      <c r="N271" s="54"/>
      <c r="O271" s="54"/>
      <c r="P271" s="54"/>
      <c r="Q271" s="54"/>
      <c r="R271" s="54"/>
      <c r="S271" s="54"/>
    </row>
    <row r="272" spans="1:19" ht="15" customHeight="1" x14ac:dyDescent="0.3">
      <c r="A272" s="19">
        <v>270</v>
      </c>
      <c r="B272" s="19">
        <v>257</v>
      </c>
      <c r="C272" s="9" t="s">
        <v>461</v>
      </c>
      <c r="D272" s="9" t="s">
        <v>404</v>
      </c>
      <c r="E272" s="11">
        <v>123142</v>
      </c>
      <c r="F272" s="61">
        <v>-0.13</v>
      </c>
      <c r="G272" s="11">
        <v>3694248</v>
      </c>
      <c r="H272" s="19">
        <v>276</v>
      </c>
      <c r="I272" s="11">
        <v>626600</v>
      </c>
      <c r="J272" s="61">
        <v>0.19</v>
      </c>
      <c r="K272" s="54"/>
      <c r="L272" s="54"/>
      <c r="M272" s="54"/>
      <c r="N272" s="54"/>
      <c r="O272" s="54"/>
      <c r="P272" s="54"/>
      <c r="Q272" s="54"/>
      <c r="R272" s="54"/>
      <c r="S272" s="54"/>
    </row>
    <row r="273" spans="1:19" ht="15" customHeight="1" x14ac:dyDescent="0.3">
      <c r="A273" s="18">
        <v>271</v>
      </c>
      <c r="B273" s="18" t="s">
        <v>282</v>
      </c>
      <c r="C273" s="15" t="s">
        <v>462</v>
      </c>
      <c r="D273" s="15" t="s">
        <v>366</v>
      </c>
      <c r="E273" s="17">
        <v>122353</v>
      </c>
      <c r="F273" s="59">
        <v>0</v>
      </c>
      <c r="G273" s="17">
        <v>4160000</v>
      </c>
      <c r="H273" s="18">
        <v>271</v>
      </c>
      <c r="I273" s="17">
        <v>0</v>
      </c>
      <c r="J273" s="59">
        <v>0</v>
      </c>
      <c r="K273" s="54"/>
      <c r="L273" s="54"/>
      <c r="M273" s="54"/>
      <c r="N273" s="54"/>
      <c r="O273" s="54"/>
      <c r="P273" s="54"/>
      <c r="Q273" s="54"/>
      <c r="R273" s="54"/>
      <c r="S273" s="54"/>
    </row>
    <row r="274" spans="1:19" ht="15" customHeight="1" x14ac:dyDescent="0.3">
      <c r="A274" s="19">
        <v>272</v>
      </c>
      <c r="B274" s="19">
        <v>255</v>
      </c>
      <c r="C274" s="9" t="s">
        <v>463</v>
      </c>
      <c r="D274" s="9" t="s">
        <v>354</v>
      </c>
      <c r="E274" s="11">
        <v>121094</v>
      </c>
      <c r="F274" s="61">
        <v>-0.21199999999999999</v>
      </c>
      <c r="G274" s="11">
        <v>3027357</v>
      </c>
      <c r="H274" s="19">
        <v>285</v>
      </c>
      <c r="I274" s="11">
        <v>0</v>
      </c>
      <c r="J274" s="61">
        <v>0</v>
      </c>
      <c r="K274" s="54"/>
      <c r="L274" s="54"/>
      <c r="M274" s="54"/>
      <c r="N274" s="54"/>
      <c r="O274" s="54"/>
      <c r="P274" s="54"/>
      <c r="Q274" s="54"/>
      <c r="R274" s="54"/>
      <c r="S274" s="54"/>
    </row>
    <row r="275" spans="1:19" ht="15" customHeight="1" x14ac:dyDescent="0.3">
      <c r="A275" s="18">
        <v>273</v>
      </c>
      <c r="B275" s="18">
        <v>250</v>
      </c>
      <c r="C275" s="15" t="s">
        <v>464</v>
      </c>
      <c r="D275" s="15" t="s">
        <v>354</v>
      </c>
      <c r="E275" s="17">
        <v>120329</v>
      </c>
      <c r="F275" s="59">
        <v>-0.34499999999999997</v>
      </c>
      <c r="G275" s="17">
        <v>3008214</v>
      </c>
      <c r="H275" s="18">
        <v>286</v>
      </c>
      <c r="I275" s="17">
        <v>800904</v>
      </c>
      <c r="J275" s="59">
        <v>-0.17</v>
      </c>
      <c r="K275" s="54"/>
      <c r="L275" s="54"/>
      <c r="M275" s="54"/>
      <c r="N275" s="54"/>
      <c r="O275" s="54"/>
      <c r="P275" s="54"/>
      <c r="Q275" s="54"/>
      <c r="R275" s="54"/>
      <c r="S275" s="54"/>
    </row>
    <row r="276" spans="1:19" ht="15" customHeight="1" x14ac:dyDescent="0.3">
      <c r="A276" s="19">
        <v>274</v>
      </c>
      <c r="B276" s="19">
        <v>253</v>
      </c>
      <c r="C276" s="9" t="s">
        <v>465</v>
      </c>
      <c r="D276" s="9" t="s">
        <v>354</v>
      </c>
      <c r="E276" s="11">
        <v>120092</v>
      </c>
      <c r="F276" s="61">
        <v>-0.252</v>
      </c>
      <c r="G276" s="11">
        <v>3002301</v>
      </c>
      <c r="H276" s="19">
        <v>287</v>
      </c>
      <c r="I276" s="11">
        <v>668876</v>
      </c>
      <c r="J276" s="61">
        <v>0.33</v>
      </c>
      <c r="K276" s="54"/>
      <c r="L276" s="54"/>
      <c r="M276" s="54"/>
      <c r="N276" s="54"/>
      <c r="O276" s="54"/>
      <c r="P276" s="54"/>
      <c r="Q276" s="54"/>
      <c r="R276" s="54"/>
      <c r="S276" s="54"/>
    </row>
    <row r="277" spans="1:19" ht="15" customHeight="1" x14ac:dyDescent="0.3">
      <c r="A277" s="18">
        <v>275</v>
      </c>
      <c r="B277" s="18">
        <v>273</v>
      </c>
      <c r="C277" s="15" t="s">
        <v>466</v>
      </c>
      <c r="D277" s="15" t="s">
        <v>467</v>
      </c>
      <c r="E277" s="17">
        <v>119221</v>
      </c>
      <c r="F277" s="59">
        <v>0.14000000000000001</v>
      </c>
      <c r="G277" s="17">
        <v>5007297</v>
      </c>
      <c r="H277" s="18">
        <v>258</v>
      </c>
      <c r="I277" s="17">
        <v>0</v>
      </c>
      <c r="J277" s="59">
        <v>0</v>
      </c>
      <c r="K277" s="54"/>
      <c r="L277" s="54"/>
      <c r="M277" s="54"/>
      <c r="N277" s="54"/>
      <c r="O277" s="54"/>
      <c r="P277" s="54"/>
      <c r="Q277" s="54"/>
      <c r="R277" s="54"/>
      <c r="S277" s="54"/>
    </row>
    <row r="278" spans="1:19" ht="15" customHeight="1" x14ac:dyDescent="0.3">
      <c r="A278" s="19">
        <v>276</v>
      </c>
      <c r="B278" s="19">
        <v>267</v>
      </c>
      <c r="C278" s="9" t="s">
        <v>468</v>
      </c>
      <c r="D278" s="9" t="s">
        <v>404</v>
      </c>
      <c r="E278" s="11">
        <v>115669</v>
      </c>
      <c r="F278" s="61">
        <v>-5.0000000000000001E-3</v>
      </c>
      <c r="G278" s="11">
        <v>3123066</v>
      </c>
      <c r="H278" s="19">
        <v>283</v>
      </c>
      <c r="I278" s="11">
        <v>564980</v>
      </c>
      <c r="J278" s="61">
        <v>0.19</v>
      </c>
      <c r="K278" s="54"/>
      <c r="L278" s="54"/>
      <c r="M278" s="54"/>
      <c r="N278" s="54"/>
      <c r="O278" s="54"/>
      <c r="P278" s="54"/>
      <c r="Q278" s="54"/>
      <c r="R278" s="54"/>
      <c r="S278" s="54"/>
    </row>
    <row r="279" spans="1:19" ht="15" customHeight="1" x14ac:dyDescent="0.3">
      <c r="A279" s="18">
        <v>277</v>
      </c>
      <c r="B279" s="18">
        <v>261</v>
      </c>
      <c r="C279" s="15" t="s">
        <v>469</v>
      </c>
      <c r="D279" s="15" t="s">
        <v>404</v>
      </c>
      <c r="E279" s="17">
        <v>115191</v>
      </c>
      <c r="F279" s="59">
        <v>-8.6999999999999994E-2</v>
      </c>
      <c r="G279" s="17">
        <v>3225356</v>
      </c>
      <c r="H279" s="18">
        <v>281</v>
      </c>
      <c r="I279" s="17">
        <v>562328</v>
      </c>
      <c r="J279" s="59">
        <v>0.33</v>
      </c>
      <c r="K279" s="54"/>
      <c r="L279" s="54"/>
      <c r="M279" s="54"/>
      <c r="N279" s="54"/>
      <c r="O279" s="54"/>
      <c r="P279" s="54"/>
      <c r="Q279" s="54"/>
      <c r="R279" s="54"/>
      <c r="S279" s="54"/>
    </row>
    <row r="280" spans="1:19" ht="15" customHeight="1" x14ac:dyDescent="0.3">
      <c r="A280" s="19">
        <v>278</v>
      </c>
      <c r="B280" s="19">
        <v>269</v>
      </c>
      <c r="C280" s="9" t="s">
        <v>470</v>
      </c>
      <c r="D280" s="9" t="s">
        <v>467</v>
      </c>
      <c r="E280" s="11">
        <v>113462</v>
      </c>
      <c r="F280" s="61">
        <v>6.0999999999999999E-2</v>
      </c>
      <c r="G280" s="11">
        <v>4765413</v>
      </c>
      <c r="H280" s="19">
        <v>260</v>
      </c>
      <c r="I280" s="11">
        <v>0</v>
      </c>
      <c r="J280" s="61">
        <v>0</v>
      </c>
      <c r="K280" s="54"/>
      <c r="L280" s="54"/>
      <c r="M280" s="54"/>
      <c r="N280" s="54"/>
      <c r="O280" s="54"/>
      <c r="P280" s="54"/>
      <c r="Q280" s="54"/>
      <c r="R280" s="54"/>
      <c r="S280" s="54"/>
    </row>
    <row r="281" spans="1:19" ht="15" customHeight="1" x14ac:dyDescent="0.3">
      <c r="A281" s="18">
        <v>279</v>
      </c>
      <c r="B281" s="18">
        <v>275</v>
      </c>
      <c r="C281" s="15" t="s">
        <v>471</v>
      </c>
      <c r="D281" s="15" t="s">
        <v>467</v>
      </c>
      <c r="E281" s="17">
        <v>110543</v>
      </c>
      <c r="F281" s="59">
        <v>0.15</v>
      </c>
      <c r="G281" s="17">
        <v>4642800</v>
      </c>
      <c r="H281" s="18">
        <v>262</v>
      </c>
      <c r="I281" s="17">
        <v>289588</v>
      </c>
      <c r="J281" s="59">
        <v>0</v>
      </c>
      <c r="K281" s="54"/>
      <c r="L281" s="54"/>
      <c r="M281" s="54"/>
      <c r="N281" s="54"/>
      <c r="O281" s="54"/>
      <c r="P281" s="54"/>
      <c r="Q281" s="54"/>
      <c r="R281" s="54"/>
      <c r="S281" s="54"/>
    </row>
    <row r="282" spans="1:19" ht="15" customHeight="1" x14ac:dyDescent="0.3">
      <c r="A282" s="19">
        <v>280</v>
      </c>
      <c r="B282" s="19">
        <v>271</v>
      </c>
      <c r="C282" s="9" t="s">
        <v>472</v>
      </c>
      <c r="D282" s="9" t="s">
        <v>467</v>
      </c>
      <c r="E282" s="11">
        <v>108502</v>
      </c>
      <c r="F282" s="61">
        <v>3.6999999999999998E-2</v>
      </c>
      <c r="G282" s="11">
        <v>4557084</v>
      </c>
      <c r="H282" s="19">
        <v>263</v>
      </c>
      <c r="I282" s="11">
        <v>0</v>
      </c>
      <c r="J282" s="61">
        <v>0</v>
      </c>
      <c r="K282" s="54"/>
      <c r="L282" s="54"/>
      <c r="M282" s="54"/>
      <c r="N282" s="54"/>
      <c r="O282" s="54"/>
      <c r="P282" s="54"/>
      <c r="Q282" s="54"/>
      <c r="R282" s="54"/>
      <c r="S282" s="54"/>
    </row>
    <row r="283" spans="1:19" ht="15" customHeight="1" x14ac:dyDescent="0.3">
      <c r="A283" s="18">
        <v>281</v>
      </c>
      <c r="B283" s="18">
        <v>265</v>
      </c>
      <c r="C283" s="15" t="s">
        <v>473</v>
      </c>
      <c r="D283" s="15" t="s">
        <v>404</v>
      </c>
      <c r="E283" s="17">
        <v>108369</v>
      </c>
      <c r="F283" s="59">
        <v>-9.6000000000000002E-2</v>
      </c>
      <c r="G283" s="17">
        <v>3034331</v>
      </c>
      <c r="H283" s="18">
        <v>284</v>
      </c>
      <c r="I283" s="17">
        <v>1024660</v>
      </c>
      <c r="J283" s="59">
        <v>-0.02</v>
      </c>
      <c r="K283" s="54"/>
      <c r="L283" s="54"/>
      <c r="M283" s="54"/>
      <c r="N283" s="54"/>
      <c r="O283" s="54"/>
      <c r="P283" s="54"/>
      <c r="Q283" s="54"/>
      <c r="R283" s="54"/>
      <c r="S283" s="54"/>
    </row>
    <row r="284" spans="1:19" ht="15" customHeight="1" x14ac:dyDescent="0.3">
      <c r="A284" s="19">
        <v>282</v>
      </c>
      <c r="B284" s="19">
        <v>276</v>
      </c>
      <c r="C284" s="9" t="s">
        <v>474</v>
      </c>
      <c r="D284" s="9" t="s">
        <v>404</v>
      </c>
      <c r="E284" s="11">
        <v>106512</v>
      </c>
      <c r="F284" s="61">
        <v>0.14399999999999999</v>
      </c>
      <c r="G284" s="11">
        <v>2875829</v>
      </c>
      <c r="H284" s="19">
        <v>289</v>
      </c>
      <c r="I284" s="11">
        <v>548392</v>
      </c>
      <c r="J284" s="61">
        <v>0.3</v>
      </c>
      <c r="K284" s="54"/>
      <c r="L284" s="54"/>
      <c r="M284" s="54"/>
      <c r="N284" s="54"/>
      <c r="O284" s="54"/>
      <c r="P284" s="54"/>
      <c r="Q284" s="54"/>
      <c r="R284" s="54"/>
      <c r="S284" s="54"/>
    </row>
    <row r="285" spans="1:19" ht="15" customHeight="1" x14ac:dyDescent="0.3">
      <c r="A285" s="18">
        <v>283</v>
      </c>
      <c r="B285" s="18" t="s">
        <v>282</v>
      </c>
      <c r="C285" s="15" t="s">
        <v>475</v>
      </c>
      <c r="D285" s="15" t="s">
        <v>366</v>
      </c>
      <c r="E285" s="17">
        <v>102941</v>
      </c>
      <c r="F285" s="59">
        <v>0</v>
      </c>
      <c r="G285" s="17">
        <v>3500000</v>
      </c>
      <c r="H285" s="18">
        <v>278</v>
      </c>
      <c r="I285" s="17">
        <v>0</v>
      </c>
      <c r="J285" s="59">
        <v>0</v>
      </c>
      <c r="K285" s="54"/>
      <c r="L285" s="54"/>
      <c r="M285" s="54"/>
      <c r="N285" s="54"/>
      <c r="O285" s="54"/>
      <c r="P285" s="54"/>
      <c r="Q285" s="54"/>
      <c r="R285" s="54"/>
      <c r="S285" s="54"/>
    </row>
    <row r="286" spans="1:19" ht="15" customHeight="1" x14ac:dyDescent="0.3">
      <c r="A286" s="19">
        <v>284</v>
      </c>
      <c r="B286" s="19">
        <v>266</v>
      </c>
      <c r="C286" s="9" t="s">
        <v>476</v>
      </c>
      <c r="D286" s="9" t="s">
        <v>467</v>
      </c>
      <c r="E286" s="11">
        <v>102900</v>
      </c>
      <c r="F286" s="61">
        <v>-0.122</v>
      </c>
      <c r="G286" s="11">
        <v>4321794</v>
      </c>
      <c r="H286" s="19">
        <v>264</v>
      </c>
      <c r="I286" s="11">
        <v>0</v>
      </c>
      <c r="J286" s="61">
        <v>0</v>
      </c>
      <c r="K286" s="54"/>
      <c r="L286" s="54"/>
      <c r="M286" s="54"/>
      <c r="N286" s="54"/>
      <c r="O286" s="54"/>
      <c r="P286" s="54"/>
      <c r="Q286" s="54"/>
      <c r="R286" s="54"/>
      <c r="S286" s="54"/>
    </row>
    <row r="287" spans="1:19" ht="15" customHeight="1" x14ac:dyDescent="0.3">
      <c r="A287" s="18">
        <v>285</v>
      </c>
      <c r="B287" s="18">
        <v>270</v>
      </c>
      <c r="C287" s="15" t="s">
        <v>477</v>
      </c>
      <c r="D287" s="15" t="s">
        <v>467</v>
      </c>
      <c r="E287" s="17">
        <v>101019</v>
      </c>
      <c r="F287" s="59">
        <v>-3.5999999999999997E-2</v>
      </c>
      <c r="G287" s="17">
        <v>4242807</v>
      </c>
      <c r="H287" s="18">
        <v>266</v>
      </c>
      <c r="I287" s="17">
        <v>0</v>
      </c>
      <c r="J287" s="59">
        <v>0</v>
      </c>
      <c r="K287" s="54"/>
      <c r="L287" s="54"/>
      <c r="M287" s="54"/>
      <c r="N287" s="54"/>
      <c r="O287" s="54"/>
      <c r="P287" s="54"/>
      <c r="Q287" s="54"/>
      <c r="R287" s="54"/>
      <c r="S287" s="54"/>
    </row>
    <row r="288" spans="1:19" ht="15" customHeight="1" x14ac:dyDescent="0.3">
      <c r="A288" s="19">
        <v>286</v>
      </c>
      <c r="B288" s="19">
        <v>274</v>
      </c>
      <c r="C288" s="9" t="s">
        <v>478</v>
      </c>
      <c r="D288" s="9" t="s">
        <v>467</v>
      </c>
      <c r="E288" s="11">
        <v>100981</v>
      </c>
      <c r="F288" s="61">
        <v>8.9999999999999993E-3</v>
      </c>
      <c r="G288" s="11">
        <v>4241181</v>
      </c>
      <c r="H288" s="19">
        <v>267</v>
      </c>
      <c r="I288" s="11">
        <v>0</v>
      </c>
      <c r="J288" s="61">
        <v>0</v>
      </c>
      <c r="K288" s="54"/>
      <c r="L288" s="54"/>
      <c r="M288" s="54"/>
      <c r="N288" s="54"/>
      <c r="O288" s="54"/>
      <c r="P288" s="54"/>
      <c r="Q288" s="54"/>
      <c r="R288" s="54"/>
      <c r="S288" s="54"/>
    </row>
    <row r="289" spans="1:19" ht="15" customHeight="1" x14ac:dyDescent="0.3">
      <c r="A289" s="18">
        <v>287</v>
      </c>
      <c r="B289" s="18">
        <v>272</v>
      </c>
      <c r="C289" s="15" t="s">
        <v>479</v>
      </c>
      <c r="D289" s="15" t="s">
        <v>467</v>
      </c>
      <c r="E289" s="17">
        <v>99300</v>
      </c>
      <c r="F289" s="59">
        <v>-0.05</v>
      </c>
      <c r="G289" s="17">
        <v>4170594</v>
      </c>
      <c r="H289" s="18">
        <v>270</v>
      </c>
      <c r="I289" s="17">
        <v>307892</v>
      </c>
      <c r="J289" s="59">
        <v>0</v>
      </c>
      <c r="K289" s="54"/>
      <c r="L289" s="54"/>
      <c r="M289" s="54"/>
      <c r="N289" s="54"/>
      <c r="O289" s="54"/>
      <c r="P289" s="54"/>
      <c r="Q289" s="54"/>
      <c r="R289" s="54"/>
      <c r="S289" s="54"/>
    </row>
    <row r="290" spans="1:19" ht="15" customHeight="1" x14ac:dyDescent="0.3">
      <c r="A290" s="19">
        <v>288</v>
      </c>
      <c r="B290" s="19" t="s">
        <v>282</v>
      </c>
      <c r="C290" s="9" t="s">
        <v>480</v>
      </c>
      <c r="D290" s="9" t="s">
        <v>366</v>
      </c>
      <c r="E290" s="11">
        <v>96471</v>
      </c>
      <c r="F290" s="61">
        <v>0</v>
      </c>
      <c r="G290" s="11">
        <v>3280000</v>
      </c>
      <c r="H290" s="19">
        <v>280</v>
      </c>
      <c r="I290" s="11">
        <v>0</v>
      </c>
      <c r="J290" s="61">
        <v>0</v>
      </c>
      <c r="K290" s="54"/>
      <c r="L290" s="54"/>
      <c r="M290" s="54"/>
      <c r="N290" s="54"/>
      <c r="O290" s="54"/>
      <c r="P290" s="54"/>
      <c r="Q290" s="54"/>
      <c r="R290" s="54"/>
      <c r="S290" s="54"/>
    </row>
    <row r="291" spans="1:19" ht="15" customHeight="1" x14ac:dyDescent="0.3">
      <c r="A291" s="18">
        <v>289</v>
      </c>
      <c r="B291" s="18">
        <v>264</v>
      </c>
      <c r="C291" s="15" t="s">
        <v>481</v>
      </c>
      <c r="D291" s="15" t="s">
        <v>404</v>
      </c>
      <c r="E291" s="17">
        <v>93440</v>
      </c>
      <c r="F291" s="59">
        <v>-0.22500000000000001</v>
      </c>
      <c r="G291" s="17">
        <v>2896635</v>
      </c>
      <c r="H291" s="18">
        <v>288</v>
      </c>
      <c r="I291" s="17">
        <v>541684</v>
      </c>
      <c r="J291" s="59">
        <v>-0.2</v>
      </c>
      <c r="K291" s="54"/>
      <c r="L291" s="54"/>
      <c r="M291" s="54"/>
      <c r="N291" s="54"/>
      <c r="O291" s="54"/>
      <c r="P291" s="54"/>
      <c r="Q291" s="54"/>
      <c r="R291" s="54"/>
      <c r="S291" s="54"/>
    </row>
    <row r="292" spans="1:19" ht="15" customHeight="1" x14ac:dyDescent="0.3">
      <c r="A292" s="19">
        <v>290</v>
      </c>
      <c r="B292" s="19" t="s">
        <v>282</v>
      </c>
      <c r="C292" s="9" t="s">
        <v>482</v>
      </c>
      <c r="D292" s="9" t="s">
        <v>366</v>
      </c>
      <c r="E292" s="11">
        <v>83529</v>
      </c>
      <c r="F292" s="61">
        <v>0</v>
      </c>
      <c r="G292" s="11">
        <v>2840000</v>
      </c>
      <c r="H292" s="19">
        <v>290</v>
      </c>
      <c r="I292" s="11">
        <v>0</v>
      </c>
      <c r="J292" s="61">
        <v>0</v>
      </c>
      <c r="K292" s="54"/>
      <c r="L292" s="54"/>
      <c r="M292" s="54"/>
      <c r="N292" s="54"/>
      <c r="O292" s="54"/>
      <c r="P292" s="54"/>
      <c r="Q292" s="54"/>
      <c r="R292" s="54"/>
      <c r="S292" s="54"/>
    </row>
    <row r="293" spans="1:19" ht="15" customHeight="1" x14ac:dyDescent="0.3">
      <c r="A293" s="18">
        <v>291</v>
      </c>
      <c r="B293" s="18">
        <v>278</v>
      </c>
      <c r="C293" s="15" t="s">
        <v>483</v>
      </c>
      <c r="D293" s="15" t="s">
        <v>354</v>
      </c>
      <c r="E293" s="17">
        <v>80847</v>
      </c>
      <c r="F293" s="59">
        <v>0.06</v>
      </c>
      <c r="G293" s="17">
        <v>2021164</v>
      </c>
      <c r="H293" s="18">
        <v>291</v>
      </c>
      <c r="I293" s="17">
        <v>381264</v>
      </c>
      <c r="J293" s="59">
        <v>0.23</v>
      </c>
      <c r="K293" s="54"/>
      <c r="L293" s="54"/>
      <c r="M293" s="54"/>
      <c r="N293" s="54"/>
      <c r="O293" s="54"/>
      <c r="P293" s="54"/>
      <c r="Q293" s="54"/>
      <c r="R293" s="54"/>
      <c r="S293" s="54"/>
    </row>
    <row r="294" spans="1:19" ht="15" customHeight="1" x14ac:dyDescent="0.3">
      <c r="A294" s="19">
        <v>292</v>
      </c>
      <c r="B294" s="19" t="s">
        <v>282</v>
      </c>
      <c r="C294" s="9" t="s">
        <v>484</v>
      </c>
      <c r="D294" s="9" t="s">
        <v>354</v>
      </c>
      <c r="E294" s="11">
        <v>71572</v>
      </c>
      <c r="F294" s="61">
        <v>0</v>
      </c>
      <c r="G294" s="11">
        <v>1789307</v>
      </c>
      <c r="H294" s="19">
        <v>292</v>
      </c>
      <c r="I294" s="11">
        <v>0</v>
      </c>
      <c r="J294" s="61">
        <v>0</v>
      </c>
      <c r="K294" s="54"/>
      <c r="L294" s="54"/>
      <c r="M294" s="54"/>
      <c r="N294" s="54"/>
      <c r="O294" s="54"/>
      <c r="P294" s="54"/>
      <c r="Q294" s="54"/>
      <c r="R294" s="54"/>
      <c r="S294" s="54"/>
    </row>
    <row r="295" spans="1:19" ht="15" customHeight="1" x14ac:dyDescent="0.3">
      <c r="A295" s="18">
        <v>293</v>
      </c>
      <c r="B295" s="18" t="s">
        <v>282</v>
      </c>
      <c r="C295" s="15" t="s">
        <v>485</v>
      </c>
      <c r="D295" s="15" t="s">
        <v>354</v>
      </c>
      <c r="E295" s="17">
        <v>59114</v>
      </c>
      <c r="F295" s="59">
        <v>0</v>
      </c>
      <c r="G295" s="17">
        <v>1477850</v>
      </c>
      <c r="H295" s="18">
        <v>293</v>
      </c>
      <c r="I295" s="17">
        <v>0</v>
      </c>
      <c r="J295" s="59">
        <v>0</v>
      </c>
      <c r="K295" s="54"/>
      <c r="L295" s="54"/>
      <c r="M295" s="54"/>
      <c r="N295" s="54"/>
      <c r="O295" s="54"/>
      <c r="P295" s="54"/>
      <c r="Q295" s="54"/>
      <c r="R295" s="54"/>
      <c r="S295" s="54"/>
    </row>
    <row r="296" spans="1:19" ht="15" customHeight="1" x14ac:dyDescent="0.3">
      <c r="A296" s="19">
        <v>294</v>
      </c>
      <c r="B296" s="19" t="s">
        <v>282</v>
      </c>
      <c r="C296" s="9" t="s">
        <v>486</v>
      </c>
      <c r="D296" s="9" t="s">
        <v>366</v>
      </c>
      <c r="E296" s="11">
        <v>42353</v>
      </c>
      <c r="F296" s="61">
        <v>0</v>
      </c>
      <c r="G296" s="11">
        <v>1440000</v>
      </c>
      <c r="H296" s="19">
        <v>294</v>
      </c>
      <c r="I296" s="11">
        <v>0</v>
      </c>
      <c r="J296" s="61">
        <v>0</v>
      </c>
      <c r="K296" s="54"/>
      <c r="L296" s="54"/>
      <c r="M296" s="54"/>
      <c r="N296" s="54"/>
      <c r="O296" s="54"/>
      <c r="P296" s="54"/>
      <c r="Q296" s="54"/>
      <c r="R296" s="54"/>
      <c r="S296" s="54"/>
    </row>
  </sheetData>
  <mergeCells count="1">
    <mergeCell ref="A1:J1"/>
  </mergeCells>
  <conditionalFormatting sqref="E3:E295">
    <cfRule type="colorScale" priority="3">
      <colorScale>
        <cfvo type="min"/>
        <cfvo type="percentile" val="50"/>
        <cfvo type="max"/>
        <color rgb="FFFFC7CE"/>
        <color rgb="FFFFEB9C"/>
        <color rgb="FF00B050"/>
      </colorScale>
    </cfRule>
  </conditionalFormatting>
  <conditionalFormatting sqref="E3:E296">
    <cfRule type="colorScale" priority="7">
      <colorScale>
        <cfvo type="min"/>
        <cfvo type="percentile" val="50"/>
        <cfvo type="max"/>
        <color rgb="FFFFC7CE"/>
        <color rgb="FFFFEB9C"/>
        <color rgb="FF00B050"/>
      </colorScale>
    </cfRule>
  </conditionalFormatting>
  <conditionalFormatting sqref="F3:F296">
    <cfRule type="cellIs" dxfId="1" priority="4" operator="greaterThan">
      <formula>0</formula>
    </cfRule>
    <cfRule type="cellIs" dxfId="0" priority="5" operator="lessThan">
      <formula>0</formula>
    </cfRule>
  </conditionalFormatting>
  <conditionalFormatting sqref="G3:G295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G3:G296">
    <cfRule type="colorScale" priority="6">
      <colorScale>
        <cfvo type="min"/>
        <cfvo type="percentile" val="50"/>
        <cfvo type="max"/>
        <color rgb="FFFF4444"/>
        <color rgb="FFFFCC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Analises</vt:lpstr>
      <vt:lpstr>Salários</vt:lpstr>
      <vt:lpstr>Folhas_de_pagamento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Dash Davidson</dc:creator>
  <dc:description/>
  <cp:lastModifiedBy>Bernardo de Moura e Silva</cp:lastModifiedBy>
  <cp:revision>0</cp:revision>
  <dcterms:created xsi:type="dcterms:W3CDTF">2014-12-16T00:36:52Z</dcterms:created>
  <dcterms:modified xsi:type="dcterms:W3CDTF">2026-06-24T16:58:33Z</dcterms:modified>
  <dc:language>en-US</dc:language>
</cp:coreProperties>
</file>