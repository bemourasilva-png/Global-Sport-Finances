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61441A8-E20A-454E-A2B1-75CE4A554B5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alários" sheetId="2" r:id="rId1"/>
    <sheet name="Analises" sheetId="3" r:id="rId2"/>
    <sheet name="Folhas_de_pagamento" sheetId="1" r:id="rId3"/>
  </sheets>
  <definedNames>
    <definedName name="_xlnm._FilterDatabase" localSheetId="2" hidden="1">Folhas_de_pagamento!$A$2:$J$296</definedName>
    <definedName name="_xlnm._FilterDatabase" localSheetId="0" hidden="1">Salários!$A$2:$E$102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15" i="1"/>
  <c r="M16" i="1"/>
  <c r="M4" i="1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</calcChain>
</file>

<file path=xl/sharedStrings.xml><?xml version="1.0" encoding="utf-8"?>
<sst xmlns="http://schemas.openxmlformats.org/spreadsheetml/2006/main" count="1161" uniqueCount="612">
  <si>
    <t>Floyd Mayweather</t>
  </si>
  <si>
    <t>$105 M</t>
  </si>
  <si>
    <t>Boxing</t>
  </si>
  <si>
    <t>Cristiano Ronaldo</t>
  </si>
  <si>
    <t>$80 M</t>
  </si>
  <si>
    <t>$52 M</t>
  </si>
  <si>
    <t>$28 M</t>
  </si>
  <si>
    <t>Soccer</t>
  </si>
  <si>
    <t>LeBron James</t>
  </si>
  <si>
    <t>$72.3 M</t>
  </si>
  <si>
    <t>$19.3 M</t>
  </si>
  <si>
    <t>$53 M</t>
  </si>
  <si>
    <t>Basketball</t>
  </si>
  <si>
    <t>Lionel Messi</t>
  </si>
  <si>
    <t>$64.7 M</t>
  </si>
  <si>
    <t>$41.7 M</t>
  </si>
  <si>
    <t>$23 M</t>
  </si>
  <si>
    <t>Kobe Bryant</t>
  </si>
  <si>
    <t>$61.5 M</t>
  </si>
  <si>
    <t>$30.5 M</t>
  </si>
  <si>
    <t>$31 M</t>
  </si>
  <si>
    <t>Tiger Woods</t>
  </si>
  <si>
    <t>$61.2 M</t>
  </si>
  <si>
    <t>$6.2 M</t>
  </si>
  <si>
    <t>$55 M</t>
  </si>
  <si>
    <t>Golf</t>
  </si>
  <si>
    <t>Roger Federer</t>
  </si>
  <si>
    <t>$56.2 M</t>
  </si>
  <si>
    <t>$4.2 M</t>
  </si>
  <si>
    <t>Tennis</t>
  </si>
  <si>
    <t>Phil Mickelson</t>
  </si>
  <si>
    <t>$53.2 M</t>
  </si>
  <si>
    <t>$5.2 M</t>
  </si>
  <si>
    <t>$48 M</t>
  </si>
  <si>
    <t>Rafael Nadal</t>
  </si>
  <si>
    <t>$44.5 M</t>
  </si>
  <si>
    <t>$14.5 M</t>
  </si>
  <si>
    <t>$30 M</t>
  </si>
  <si>
    <t>Matt Ryan</t>
  </si>
  <si>
    <t>$43.8 M</t>
  </si>
  <si>
    <t>$42 M</t>
  </si>
  <si>
    <t>$1.8 M</t>
  </si>
  <si>
    <t>Football</t>
  </si>
  <si>
    <t>Manny Pacquiao</t>
  </si>
  <si>
    <t>$41.8 M</t>
  </si>
  <si>
    <t>$41 M</t>
  </si>
  <si>
    <t>$0.8 M</t>
  </si>
  <si>
    <t>Zlatan Ibrahimovic</t>
  </si>
  <si>
    <t>$40.4 M</t>
  </si>
  <si>
    <t>$36.4 M</t>
  </si>
  <si>
    <t>$4 M</t>
  </si>
  <si>
    <t>Derrick Rose</t>
  </si>
  <si>
    <t>$36.6 M</t>
  </si>
  <si>
    <t>$17.6 M</t>
  </si>
  <si>
    <t>$19 M</t>
  </si>
  <si>
    <t>Gareth Bale</t>
  </si>
  <si>
    <t>$25.4 M</t>
  </si>
  <si>
    <t>$11 M</t>
  </si>
  <si>
    <t>Radamel Falcao</t>
  </si>
  <si>
    <t>$35.4 M</t>
  </si>
  <si>
    <t>$32.4 M</t>
  </si>
  <si>
    <t>$3 M</t>
  </si>
  <si>
    <t>Neymar</t>
  </si>
  <si>
    <t>$33.6 M</t>
  </si>
  <si>
    <t>$16 M</t>
  </si>
  <si>
    <t>Novak Djokovic</t>
  </si>
  <si>
    <t>$33.1 M</t>
  </si>
  <si>
    <t>$12.1 M</t>
  </si>
  <si>
    <t>$21 M</t>
  </si>
  <si>
    <t>Matthew Stafford</t>
  </si>
  <si>
    <t>$33 M</t>
  </si>
  <si>
    <t>$31.5 M</t>
  </si>
  <si>
    <t>$1.5 M</t>
  </si>
  <si>
    <t>Lewis Hamilton</t>
  </si>
  <si>
    <t>$32 M</t>
  </si>
  <si>
    <t>$29 M</t>
  </si>
  <si>
    <t>Racing</t>
  </si>
  <si>
    <t>Kevin Durant</t>
  </si>
  <si>
    <t>$31.9 M</t>
  </si>
  <si>
    <t>$17.9 M</t>
  </si>
  <si>
    <t>$14 M</t>
  </si>
  <si>
    <t>Fernando Alonso</t>
  </si>
  <si>
    <t>$2 M</t>
  </si>
  <si>
    <t>Mahendra Singh Dhoni</t>
  </si>
  <si>
    <t>$26 M</t>
  </si>
  <si>
    <t>Cricket</t>
  </si>
  <si>
    <t>Dwyane Wade</t>
  </si>
  <si>
    <t>$29.9 M</t>
  </si>
  <si>
    <t>$18.9 M</t>
  </si>
  <si>
    <t>Carmelo Anthony</t>
  </si>
  <si>
    <t>$29.4 M</t>
  </si>
  <si>
    <t>$21.4 M</t>
  </si>
  <si>
    <t>$8 M</t>
  </si>
  <si>
    <t>Wladimir Klitschko</t>
  </si>
  <si>
    <t>$24 M</t>
  </si>
  <si>
    <t>Peyton Manning</t>
  </si>
  <si>
    <t>$27.1 M</t>
  </si>
  <si>
    <t>$15.1 M</t>
  </si>
  <si>
    <t>$12 M</t>
  </si>
  <si>
    <t>Amar'e Stoudemire</t>
  </si>
  <si>
    <t>$26.7 M</t>
  </si>
  <si>
    <t>$21.7 M</t>
  </si>
  <si>
    <t>$5 M</t>
  </si>
  <si>
    <t>Dale Earnhardt, Jr.</t>
  </si>
  <si>
    <t>$25.9 M</t>
  </si>
  <si>
    <t>$14.9 M</t>
  </si>
  <si>
    <t>Dwight Howard</t>
  </si>
  <si>
    <t>$25.5 M</t>
  </si>
  <si>
    <t>$20.5 M</t>
  </si>
  <si>
    <t>Cliff Lee</t>
  </si>
  <si>
    <t>$25.3 M</t>
  </si>
  <si>
    <t>$25.1 M</t>
  </si>
  <si>
    <t>$200 K</t>
  </si>
  <si>
    <t>Baseball</t>
  </si>
  <si>
    <t>Joe Mauer</t>
  </si>
  <si>
    <t>$24.8 M</t>
  </si>
  <si>
    <t>Miguel Cabrera</t>
  </si>
  <si>
    <t>$24.6 M</t>
  </si>
  <si>
    <t>$22.6 M</t>
  </si>
  <si>
    <t>Zack Greinke</t>
  </si>
  <si>
    <t>$24.5 M</t>
  </si>
  <si>
    <t>$24.4 M</t>
  </si>
  <si>
    <t>$50 K</t>
  </si>
  <si>
    <t>Maria Sharapova</t>
  </si>
  <si>
    <t>$2.4 M</t>
  </si>
  <si>
    <t>$22 M</t>
  </si>
  <si>
    <t>Derek Jeter</t>
  </si>
  <si>
    <t>$24.3 M</t>
  </si>
  <si>
    <t>$15.3 M</t>
  </si>
  <si>
    <t>$9 M</t>
  </si>
  <si>
    <t>Rory McIlroy</t>
  </si>
  <si>
    <t>$4.3 M</t>
  </si>
  <si>
    <t>$20 M</t>
  </si>
  <si>
    <t>Chris Paul</t>
  </si>
  <si>
    <t>$24.2 M</t>
  </si>
  <si>
    <t>$18.7 M</t>
  </si>
  <si>
    <t>$5.5 M</t>
  </si>
  <si>
    <t>CC Sabathia</t>
  </si>
  <si>
    <t>$1.2 M</t>
  </si>
  <si>
    <t>Prince Fielder</t>
  </si>
  <si>
    <t>$23.9 M</t>
  </si>
  <si>
    <t>$23.5 M</t>
  </si>
  <si>
    <t>$400 K</t>
  </si>
  <si>
    <t>Darrelle Revis</t>
  </si>
  <si>
    <t>$23.8 M</t>
  </si>
  <si>
    <t>Li Na</t>
  </si>
  <si>
    <t>$23.6 M</t>
  </si>
  <si>
    <t>$5.6 M</t>
  </si>
  <si>
    <t>$18 M</t>
  </si>
  <si>
    <t>Jimmie Johnson</t>
  </si>
  <si>
    <t>$17 M</t>
  </si>
  <si>
    <t>$6.5 M</t>
  </si>
  <si>
    <t>Wayne Rooney</t>
  </si>
  <si>
    <t>$23.4 M</t>
  </si>
  <si>
    <t>$18.4 M</t>
  </si>
  <si>
    <t>Sergio Aguero</t>
  </si>
  <si>
    <t>$23.3 M</t>
  </si>
  <si>
    <t>$18.3 M</t>
  </si>
  <si>
    <t>Usain Bolt</t>
  </si>
  <si>
    <t>$23.2 M</t>
  </si>
  <si>
    <t>Track</t>
  </si>
  <si>
    <t>Dirk Nowitzki</t>
  </si>
  <si>
    <t>$22.7 M</t>
  </si>
  <si>
    <t>$0.5 M</t>
  </si>
  <si>
    <t>Blake Griffin</t>
  </si>
  <si>
    <t>$16.5 M</t>
  </si>
  <si>
    <t>Alex Rodriguez</t>
  </si>
  <si>
    <t>$22.9 M</t>
  </si>
  <si>
    <t>$300 K</t>
  </si>
  <si>
    <t>Johan Santana</t>
  </si>
  <si>
    <t>$22.5 M</t>
  </si>
  <si>
    <t>Mark Teixeira</t>
  </si>
  <si>
    <t>Matt Kemp</t>
  </si>
  <si>
    <t>$21.8 M</t>
  </si>
  <si>
    <t>Joe Johnson</t>
  </si>
  <si>
    <t>$21.5 M</t>
  </si>
  <si>
    <t>$1 M</t>
  </si>
  <si>
    <t>Geno Atkins</t>
  </si>
  <si>
    <t>$22.4 M</t>
  </si>
  <si>
    <t>$22.3 M</t>
  </si>
  <si>
    <t>Ryan Howard</t>
  </si>
  <si>
    <t>$0.7 M</t>
  </si>
  <si>
    <t>Aaron Rodgers</t>
  </si>
  <si>
    <t>$7.5 M</t>
  </si>
  <si>
    <t>Serena Williams</t>
  </si>
  <si>
    <t>Chris Bosh</t>
  </si>
  <si>
    <t>$2.5 M</t>
  </si>
  <si>
    <t>Pau Gasol</t>
  </si>
  <si>
    <t>Yaya Touré</t>
  </si>
  <si>
    <t>$19.2 M</t>
  </si>
  <si>
    <t>Robinson Cano</t>
  </si>
  <si>
    <t>$3.5 M</t>
  </si>
  <si>
    <t>Adrian Gonzalez</t>
  </si>
  <si>
    <t>$21.1 M</t>
  </si>
  <si>
    <t>Joe Haden</t>
  </si>
  <si>
    <t>$21.2 M</t>
  </si>
  <si>
    <t>$150 K</t>
  </si>
  <si>
    <t>Fernando Torres</t>
  </si>
  <si>
    <t>$21.3 M</t>
  </si>
  <si>
    <t>$17.8 M</t>
  </si>
  <si>
    <t>Henrik Stenson</t>
  </si>
  <si>
    <t>$3.2 M</t>
  </si>
  <si>
    <t>Vernon Wells</t>
  </si>
  <si>
    <t>$100 K</t>
  </si>
  <si>
    <t>Canelo Alvarez</t>
  </si>
  <si>
    <t>$19.5 M</t>
  </si>
  <si>
    <t>Drew Brees</t>
  </si>
  <si>
    <t>$10 M</t>
  </si>
  <si>
    <t>Eli Manning</t>
  </si>
  <si>
    <t>$13.5 M</t>
  </si>
  <si>
    <t>Julius Peppers</t>
  </si>
  <si>
    <t>$20.8 M</t>
  </si>
  <si>
    <t>$20.4 M</t>
  </si>
  <si>
    <t>Cole Hamels</t>
  </si>
  <si>
    <t>$20.7 M</t>
  </si>
  <si>
    <t>Jason Peters</t>
  </si>
  <si>
    <t>Justin Verlander</t>
  </si>
  <si>
    <t>$20.2 M</t>
  </si>
  <si>
    <t>Tim Lincecum</t>
  </si>
  <si>
    <t>$20.6 M</t>
  </si>
  <si>
    <t>$20.3 M</t>
  </si>
  <si>
    <t>$250 K</t>
  </si>
  <si>
    <t>Carl Crawford</t>
  </si>
  <si>
    <t>Matt Cain</t>
  </si>
  <si>
    <t>Barry Zito</t>
  </si>
  <si>
    <t>Felix Hernandez</t>
  </si>
  <si>
    <t>$20.1 M</t>
  </si>
  <si>
    <t>Albert Pujols</t>
  </si>
  <si>
    <t>Deron Williams</t>
  </si>
  <si>
    <t>$18.5 M</t>
  </si>
  <si>
    <t>David Ortiz</t>
  </si>
  <si>
    <t>$19.8 M</t>
  </si>
  <si>
    <t>$14.8 M</t>
  </si>
  <si>
    <t>Robin van Persie</t>
  </si>
  <si>
    <t>Russell Westbrook</t>
  </si>
  <si>
    <t>$14.7 M</t>
  </si>
  <si>
    <t>$4.5 M</t>
  </si>
  <si>
    <t>Sebastian Vettel</t>
  </si>
  <si>
    <t>Carlos Dunlap</t>
  </si>
  <si>
    <t>$18.8 M</t>
  </si>
  <si>
    <t>Zach Randolph</t>
  </si>
  <si>
    <t>Steven Gerrard</t>
  </si>
  <si>
    <t>$13.2 M</t>
  </si>
  <si>
    <t>Jeff Gordon</t>
  </si>
  <si>
    <t>$13.7 M</t>
  </si>
  <si>
    <t>Rudy Gay</t>
  </si>
  <si>
    <t>$18.6 M</t>
  </si>
  <si>
    <t>Larry Fitzgerald</t>
  </si>
  <si>
    <t>Mesut Ozil</t>
  </si>
  <si>
    <t>$12.5 M</t>
  </si>
  <si>
    <t>$6 M</t>
  </si>
  <si>
    <t>Branden Albert</t>
  </si>
  <si>
    <t>$35 K</t>
  </si>
  <si>
    <t>Franck Ribéry</t>
  </si>
  <si>
    <t>$16.8 M</t>
  </si>
  <si>
    <t>Alfonso Soriano</t>
  </si>
  <si>
    <t>$18.1 M</t>
  </si>
  <si>
    <t>Jairus Byrd</t>
  </si>
  <si>
    <t>Adam Scott</t>
  </si>
  <si>
    <t>$17.7 M</t>
  </si>
  <si>
    <t>$8.7 M</t>
  </si>
  <si>
    <t>Terrell Suggs</t>
  </si>
  <si>
    <t>$17.4 M</t>
  </si>
  <si>
    <t>Brandon Marshall</t>
  </si>
  <si>
    <t>$17.5 M</t>
  </si>
  <si>
    <t>Jayson Werth</t>
  </si>
  <si>
    <t>$17.3 M</t>
  </si>
  <si>
    <t>Matt Holliday</t>
  </si>
  <si>
    <t>$17.2 M</t>
  </si>
  <si>
    <t>Luis Suarez</t>
  </si>
  <si>
    <t>$13.3 M</t>
  </si>
  <si>
    <t>Ranking</t>
  </si>
  <si>
    <t>Ranking no último ano</t>
  </si>
  <si>
    <t>Atleta</t>
  </si>
  <si>
    <t>Manchester City</t>
  </si>
  <si>
    <t xml:space="preserve"> EPL</t>
  </si>
  <si>
    <t>New York Yankees</t>
  </si>
  <si>
    <t xml:space="preserve"> MLB</t>
  </si>
  <si>
    <t>Los Angeles Dodgers</t>
  </si>
  <si>
    <t>Real Madrid</t>
  </si>
  <si>
    <t xml:space="preserve"> La Liga</t>
  </si>
  <si>
    <t>Barcelona</t>
  </si>
  <si>
    <t>Brooklyn Nets</t>
  </si>
  <si>
    <t xml:space="preserve"> NBA</t>
  </si>
  <si>
    <t>Bayern Munich</t>
  </si>
  <si>
    <t xml:space="preserve"> Bundesliga</t>
  </si>
  <si>
    <t>Manchester United</t>
  </si>
  <si>
    <t>Chicago Bulls</t>
  </si>
  <si>
    <t>Chelsea</t>
  </si>
  <si>
    <t>Arsenal</t>
  </si>
  <si>
    <t>NY Knicks</t>
  </si>
  <si>
    <t>Detroit Tigers</t>
  </si>
  <si>
    <t>Philadelphia Phillies</t>
  </si>
  <si>
    <t>Boston Red Sox</t>
  </si>
  <si>
    <t>Miami Heat</t>
  </si>
  <si>
    <t>San Francisco Giants</t>
  </si>
  <si>
    <t>Juventus</t>
  </si>
  <si>
    <t xml:space="preserve"> Serie A</t>
  </si>
  <si>
    <t>LA Lakers</t>
  </si>
  <si>
    <t>Liverpool</t>
  </si>
  <si>
    <t>Boston Celtics</t>
  </si>
  <si>
    <t>Oklahoma City Thunder</t>
  </si>
  <si>
    <t>Indiana Pacers</t>
  </si>
  <si>
    <t>Mumbai Indians</t>
  </si>
  <si>
    <t xml:space="preserve"> IPL</t>
  </si>
  <si>
    <t>Roma</t>
  </si>
  <si>
    <t>LA Clippers</t>
  </si>
  <si>
    <t>Milan</t>
  </si>
  <si>
    <t>Golden State Warriors</t>
  </si>
  <si>
    <t>Washington Nationals</t>
  </si>
  <si>
    <t>Toronto Blue Jays</t>
  </si>
  <si>
    <t>Internazionale</t>
  </si>
  <si>
    <t>New Orleans Pelicans</t>
  </si>
  <si>
    <t>Memphis Grizzlies</t>
  </si>
  <si>
    <t>Minnesota Timberwolves</t>
  </si>
  <si>
    <t>Denver Nuggets</t>
  </si>
  <si>
    <t>Dallas Mavericks</t>
  </si>
  <si>
    <t>Sacramento Kings</t>
  </si>
  <si>
    <t>LA Angels</t>
  </si>
  <si>
    <t>Kolkata Knight Riders</t>
  </si>
  <si>
    <t>Royal Challengers Bangalore</t>
  </si>
  <si>
    <t>Delhi Daredevils</t>
  </si>
  <si>
    <t>San Antonio Spurs</t>
  </si>
  <si>
    <t>Washington Wizards</t>
  </si>
  <si>
    <t>Chennai Super Kings</t>
  </si>
  <si>
    <t>Toronto Raptors</t>
  </si>
  <si>
    <t>Portland Trail Blazers</t>
  </si>
  <si>
    <t>Borussia Dortmund</t>
  </si>
  <si>
    <t>Texas Rangers</t>
  </si>
  <si>
    <t>Detroit Pistons</t>
  </si>
  <si>
    <t>Houston Rockets</t>
  </si>
  <si>
    <t>Schalke</t>
  </si>
  <si>
    <t>Cleveland Cavaliers</t>
  </si>
  <si>
    <t>Charlotte Bobcats</t>
  </si>
  <si>
    <t>Tottenham</t>
  </si>
  <si>
    <t>Pune Warriors</t>
  </si>
  <si>
    <t>St Louis Cardinals</t>
  </si>
  <si>
    <t>Atlanta Hawks</t>
  </si>
  <si>
    <t>Milwaukee Brewers</t>
  </si>
  <si>
    <t>Milwaukee Bucks</t>
  </si>
  <si>
    <t>Utah Jazz</t>
  </si>
  <si>
    <t>Arizona Diamondbacks</t>
  </si>
  <si>
    <t>Colorado Rockies</t>
  </si>
  <si>
    <t>Orlando Magic</t>
  </si>
  <si>
    <t>Phoenix Suns</t>
  </si>
  <si>
    <t>Cincinnati Reds</t>
  </si>
  <si>
    <t>Minnesota Twins</t>
  </si>
  <si>
    <t>Baltimore Orioles</t>
  </si>
  <si>
    <t>Kansas City Royals</t>
  </si>
  <si>
    <t>Chicago White Sox</t>
  </si>
  <si>
    <t>Queens Park Rangers</t>
  </si>
  <si>
    <t>Atlanta Braves</t>
  </si>
  <si>
    <t>New York Mets</t>
  </si>
  <si>
    <t>Seattle Mariners</t>
  </si>
  <si>
    <t>Cleveland Indians</t>
  </si>
  <si>
    <t>Aston Villa</t>
  </si>
  <si>
    <t>Chicago Blackhawks</t>
  </si>
  <si>
    <t xml:space="preserve"> NHL</t>
  </si>
  <si>
    <t>San Diego Padres</t>
  </si>
  <si>
    <t>Pittsburgh Pirates</t>
  </si>
  <si>
    <t>Philadelphia Flyers</t>
  </si>
  <si>
    <t>Philadelphia 76ers</t>
  </si>
  <si>
    <t>LA Kings</t>
  </si>
  <si>
    <t>Minnesota Wild</t>
  </si>
  <si>
    <t>Tampa Bay Rays</t>
  </si>
  <si>
    <t>Nashville Predators</t>
  </si>
  <si>
    <t>Vancouver Canucks</t>
  </si>
  <si>
    <t>Fulham</t>
  </si>
  <si>
    <t>New York Rangers</t>
  </si>
  <si>
    <t>Newcastle</t>
  </si>
  <si>
    <t>Chicago Cubs</t>
  </si>
  <si>
    <t>Napoli</t>
  </si>
  <si>
    <t>Atletico Madrid</t>
  </si>
  <si>
    <t>Boston Bruins</t>
  </si>
  <si>
    <t>Everton</t>
  </si>
  <si>
    <t>Montreal Canadiens</t>
  </si>
  <si>
    <t>San Jose Sharks</t>
  </si>
  <si>
    <t>Lazio</t>
  </si>
  <si>
    <t>Detroit Red Wings</t>
  </si>
  <si>
    <t>Sunrisers Hyderabad</t>
  </si>
  <si>
    <t>Carolina Hurricanes</t>
  </si>
  <si>
    <t>Oakland Athletics</t>
  </si>
  <si>
    <t>Washington Capitals</t>
  </si>
  <si>
    <t>Valencia</t>
  </si>
  <si>
    <t>Kings XI Punjab</t>
  </si>
  <si>
    <t>St Louis Blues</t>
  </si>
  <si>
    <t>Pittsburgh Penguins</t>
  </si>
  <si>
    <t>Dallas Stars</t>
  </si>
  <si>
    <t>Bayer Leverkusen</t>
  </si>
  <si>
    <t>Werder Bremen</t>
  </si>
  <si>
    <t>Sunderland</t>
  </si>
  <si>
    <t>Toronto Maple Leafs</t>
  </si>
  <si>
    <t>Wolfsburg</t>
  </si>
  <si>
    <t>Stoke</t>
  </si>
  <si>
    <t>Stuttgart</t>
  </si>
  <si>
    <t>Phoenix Coyotes</t>
  </si>
  <si>
    <t>Minnesota Vikings</t>
  </si>
  <si>
    <t xml:space="preserve"> NFL</t>
  </si>
  <si>
    <t>Seattle Seahawks</t>
  </si>
  <si>
    <t>West Bromwich Albion</t>
  </si>
  <si>
    <t>Winnipeg Jets</t>
  </si>
  <si>
    <t>Anaheim Ducks</t>
  </si>
  <si>
    <t>Tampa Bay Lightning</t>
  </si>
  <si>
    <t>Chicago Bears</t>
  </si>
  <si>
    <t>Buffalo Sabres</t>
  </si>
  <si>
    <t>Colorado Avalanche</t>
  </si>
  <si>
    <t>Edmonton Oilers</t>
  </si>
  <si>
    <t>Denver Broncos</t>
  </si>
  <si>
    <t>New Jersey Devils</t>
  </si>
  <si>
    <t>Ottawa Senators</t>
  </si>
  <si>
    <t>Hamburg</t>
  </si>
  <si>
    <t>Columbus Blue Jackets</t>
  </si>
  <si>
    <t>New Orleans Saints</t>
  </si>
  <si>
    <t>West Ham</t>
  </si>
  <si>
    <t>Kansas City Chiefs</t>
  </si>
  <si>
    <t>Tennessee Titans</t>
  </si>
  <si>
    <t>Green Bay Packers</t>
  </si>
  <si>
    <t>Philadelphia Eagles</t>
  </si>
  <si>
    <t>Sevilla</t>
  </si>
  <si>
    <t>Pittsburgh Steelers</t>
  </si>
  <si>
    <t>Cincinnati Bengals</t>
  </si>
  <si>
    <t>New York Giants</t>
  </si>
  <si>
    <t>San Francisco 49ers</t>
  </si>
  <si>
    <t>Norwich</t>
  </si>
  <si>
    <t>Houston Texans</t>
  </si>
  <si>
    <t>Indianapolis Colts</t>
  </si>
  <si>
    <t>Calgary Flames</t>
  </si>
  <si>
    <t>Tampa Bay Bucs</t>
  </si>
  <si>
    <t>St Louis Rams</t>
  </si>
  <si>
    <t>Reading</t>
  </si>
  <si>
    <t>San Diego Chargers</t>
  </si>
  <si>
    <t>New England Patriots</t>
  </si>
  <si>
    <t>Detroit Lions</t>
  </si>
  <si>
    <t>Fiorentina</t>
  </si>
  <si>
    <t>Baltimore Ravens</t>
  </si>
  <si>
    <t>Swansea</t>
  </si>
  <si>
    <t>Atlanta Falcons</t>
  </si>
  <si>
    <t>Southampton</t>
  </si>
  <si>
    <t>Dallas Cowboys</t>
  </si>
  <si>
    <t>Florida Panthers</t>
  </si>
  <si>
    <t>Washington Redskins</t>
  </si>
  <si>
    <t>New York Jets</t>
  </si>
  <si>
    <t>Buffalo Bills</t>
  </si>
  <si>
    <t>Eintracht Frankfurt</t>
  </si>
  <si>
    <t>Cleveland Browns</t>
  </si>
  <si>
    <t>Miami Dolphins</t>
  </si>
  <si>
    <t>Athletic Bilbao</t>
  </si>
  <si>
    <t>New York Islanders</t>
  </si>
  <si>
    <t>Wigan</t>
  </si>
  <si>
    <t>Celtic</t>
  </si>
  <si>
    <t xml:space="preserve"> SPL</t>
  </si>
  <si>
    <t>Borussia Monchengladbach</t>
  </si>
  <si>
    <t>Hannover 96</t>
  </si>
  <si>
    <t>Rajasthan Royals</t>
  </si>
  <si>
    <t>Hoffenheim</t>
  </si>
  <si>
    <t>Malaga</t>
  </si>
  <si>
    <t>Carolina Panthers</t>
  </si>
  <si>
    <t>Houston Astros</t>
  </si>
  <si>
    <t>Jacksonville Jaguars</t>
  </si>
  <si>
    <t>Miami Marlins</t>
  </si>
  <si>
    <t>Sampdoria</t>
  </si>
  <si>
    <t>Guangzhou Evergrande</t>
  </si>
  <si>
    <t xml:space="preserve"> CSL</t>
  </si>
  <si>
    <t>Genoa</t>
  </si>
  <si>
    <t>Mainz</t>
  </si>
  <si>
    <t>Nuremberg</t>
  </si>
  <si>
    <t>Oakland Raiders</t>
  </si>
  <si>
    <t>Yomiuri Giants</t>
  </si>
  <si>
    <t xml:space="preserve"> NPB</t>
  </si>
  <si>
    <t>Getafe</t>
  </si>
  <si>
    <t>Real Sociedad</t>
  </si>
  <si>
    <t>Palermo</t>
  </si>
  <si>
    <t>Arizona Cardinals</t>
  </si>
  <si>
    <t>Bologna</t>
  </si>
  <si>
    <t>Mallorca</t>
  </si>
  <si>
    <t>Atalanta</t>
  </si>
  <si>
    <t>Udinese</t>
  </si>
  <si>
    <t>Espanyol</t>
  </si>
  <si>
    <t>Granada</t>
  </si>
  <si>
    <t>Parma</t>
  </si>
  <si>
    <t>Torino</t>
  </si>
  <si>
    <t>Freiburg</t>
  </si>
  <si>
    <t>Augsburg</t>
  </si>
  <si>
    <t>Osasuna</t>
  </si>
  <si>
    <t>SpVgg Greuther Furth</t>
  </si>
  <si>
    <t>Chunichi Dragons</t>
  </si>
  <si>
    <t>Siena</t>
  </si>
  <si>
    <t>Catania</t>
  </si>
  <si>
    <t>Fortuna Dusseldorf</t>
  </si>
  <si>
    <t>Cagliari</t>
  </si>
  <si>
    <t>Shandong Luneng</t>
  </si>
  <si>
    <t>Real Betis</t>
  </si>
  <si>
    <t>Chievo</t>
  </si>
  <si>
    <t>Fukuoka SoftBank Hawks</t>
  </si>
  <si>
    <t>Deportivo La Coruna</t>
  </si>
  <si>
    <t>Valladolid</t>
  </si>
  <si>
    <t>Zaragoza</t>
  </si>
  <si>
    <t>Hokkaido Nippon Ham Fighters</t>
  </si>
  <si>
    <t>Celta Vigo</t>
  </si>
  <si>
    <t>Toronto FC</t>
  </si>
  <si>
    <t xml:space="preserve"> MLS</t>
  </si>
  <si>
    <t>Guizhou Renhe</t>
  </si>
  <si>
    <t>Pescara</t>
  </si>
  <si>
    <t>Levante</t>
  </si>
  <si>
    <t>Rayo Vallecano</t>
  </si>
  <si>
    <t>Tokyo Yakult Swallows</t>
  </si>
  <si>
    <t>Chiba Lotte Marines</t>
  </si>
  <si>
    <t>Tohoku Rakuten Golden Eagles</t>
  </si>
  <si>
    <t>Saitama Seibu Lions</t>
  </si>
  <si>
    <t>Orix Buffaloes</t>
  </si>
  <si>
    <t>Hanshin Tigers</t>
  </si>
  <si>
    <t>Guangzhou R&amp;F</t>
  </si>
  <si>
    <t>Hiroshima Toyo Carp</t>
  </si>
  <si>
    <t>Yokohama DeNA Bay Stars</t>
  </si>
  <si>
    <t>New York Red Bulls</t>
  </si>
  <si>
    <t>Dalian Aerbin</t>
  </si>
  <si>
    <t>Seattle Sounders</t>
  </si>
  <si>
    <t>LA Galaxy</t>
  </si>
  <si>
    <t>Heart of Midlothian</t>
  </si>
  <si>
    <t>Sydney Swans</t>
  </si>
  <si>
    <t xml:space="preserve"> AFL</t>
  </si>
  <si>
    <t>Collingwood</t>
  </si>
  <si>
    <t>Aberdeen</t>
  </si>
  <si>
    <t>Greater Western Sydney</t>
  </si>
  <si>
    <t>Gold Coast</t>
  </si>
  <si>
    <t>West Coast Eagles</t>
  </si>
  <si>
    <t>Carlton</t>
  </si>
  <si>
    <t>Hawthorn</t>
  </si>
  <si>
    <t>St Kilda</t>
  </si>
  <si>
    <t>Essendon</t>
  </si>
  <si>
    <t>Geelong</t>
  </si>
  <si>
    <t>Richmond</t>
  </si>
  <si>
    <t>Adelaide Crows</t>
  </si>
  <si>
    <t>Melbourne</t>
  </si>
  <si>
    <t>Fremantle</t>
  </si>
  <si>
    <t>Brisbane Lions</t>
  </si>
  <si>
    <t>Western Bulldogs</t>
  </si>
  <si>
    <t>Port Adelaide</t>
  </si>
  <si>
    <t>North Melbourne</t>
  </si>
  <si>
    <t>Hibernian</t>
  </si>
  <si>
    <t>Montreal Impact</t>
  </si>
  <si>
    <t>Beijing Guoan</t>
  </si>
  <si>
    <t>Vancouver Whitecaps</t>
  </si>
  <si>
    <t>Tianjin Taida</t>
  </si>
  <si>
    <t>Dundee United</t>
  </si>
  <si>
    <t>Shanghai Shenhua</t>
  </si>
  <si>
    <t>Changchun Yatai</t>
  </si>
  <si>
    <t>Portland Timbers</t>
  </si>
  <si>
    <t>Shanghai Shenxin</t>
  </si>
  <si>
    <t>Chicago Fire</t>
  </si>
  <si>
    <t>Kilmarnock</t>
  </si>
  <si>
    <t>Qingdao Zhongneng</t>
  </si>
  <si>
    <t>San Jose Earthquakes</t>
  </si>
  <si>
    <t>Philadelphia Union</t>
  </si>
  <si>
    <t>Real Salt Lake</t>
  </si>
  <si>
    <t>Houston Dynamo</t>
  </si>
  <si>
    <t>DC United</t>
  </si>
  <si>
    <t>FC Dallas</t>
  </si>
  <si>
    <t>Liaoning Hongyun</t>
  </si>
  <si>
    <t>St Johnstone</t>
  </si>
  <si>
    <t>Motherwell</t>
  </si>
  <si>
    <t>St Mirren</t>
  </si>
  <si>
    <t>Saskatchewan Roughriders</t>
  </si>
  <si>
    <t xml:space="preserve"> CFL</t>
  </si>
  <si>
    <t>Colorado Rapids</t>
  </si>
  <si>
    <t>Sporting Kansas City</t>
  </si>
  <si>
    <t>Hamilton Tiger-Cats</t>
  </si>
  <si>
    <t>Montreal Alouettes</t>
  </si>
  <si>
    <t>Calgary Stampeders</t>
  </si>
  <si>
    <t>New England Revolution</t>
  </si>
  <si>
    <t>Chivas USA</t>
  </si>
  <si>
    <t>Jiangsu Shuntian</t>
  </si>
  <si>
    <t>Toronto Argonauts</t>
  </si>
  <si>
    <t>BC Lions</t>
  </si>
  <si>
    <t>Edmonton Eskimos</t>
  </si>
  <si>
    <t>Winnipeg Blue Bombers</t>
  </si>
  <si>
    <t>Wuhan Zhuoer</t>
  </si>
  <si>
    <t>Columbus Crew</t>
  </si>
  <si>
    <t>Hangzhou Greentown</t>
  </si>
  <si>
    <t>Inverness Caledonian Thistle</t>
  </si>
  <si>
    <t>Dundee</t>
  </si>
  <si>
    <t>Ross County</t>
  </si>
  <si>
    <t>Shanghai Dongya</t>
  </si>
  <si>
    <t xml:space="preserve">Time </t>
  </si>
  <si>
    <t xml:space="preserve"> Liga</t>
  </si>
  <si>
    <t>Salário médio atual por jogador</t>
  </si>
  <si>
    <t>Folha salarial</t>
  </si>
  <si>
    <t>Ranking de folha salarial</t>
  </si>
  <si>
    <t>Ganho médio do jogador em 5 anos</t>
  </si>
  <si>
    <t>%Variação em relação ao ano anterior</t>
  </si>
  <si>
    <t>Remuneração em 2014</t>
  </si>
  <si>
    <t>Salário/Bolsa/Premiações</t>
  </si>
  <si>
    <t>Patrocínios</t>
  </si>
  <si>
    <t>Esporte</t>
  </si>
  <si>
    <t>Ranking de times com maiores folhas de pagamento</t>
  </si>
  <si>
    <t>Atletas com maiores folhas de pagamento</t>
  </si>
  <si>
    <t>% Variação dos últimos 5 anos</t>
  </si>
  <si>
    <t>N/ rankeado</t>
  </si>
  <si>
    <t>La liga</t>
  </si>
  <si>
    <t>MLB</t>
  </si>
  <si>
    <t>NBA</t>
  </si>
  <si>
    <t>Bundesliga</t>
  </si>
  <si>
    <t>Serie A</t>
  </si>
  <si>
    <t>IPL</t>
  </si>
  <si>
    <t>NHL</t>
  </si>
  <si>
    <t>CSL</t>
  </si>
  <si>
    <t>NPB</t>
  </si>
  <si>
    <t>SPL</t>
  </si>
  <si>
    <t>MLS</t>
  </si>
  <si>
    <t>AFL</t>
  </si>
  <si>
    <t>EPL</t>
  </si>
  <si>
    <t>Quantidade de aparições no 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</si>
</sst>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$-409]* #,##0.00_ ;_-[$$-409]* \-#,##0.00\ ;_-[$$-409]* &quot;-&quot;??_ ;_-@_ "/>
    <numFmt numFmtId="165" formatCode="_-[$R$-416]\ * #,##0.00_-;\-[$R$-416]\ * #,##0.00_-;_-[$R$-416]\ * &quot;-&quot;??_-;_-@_-"/>
  </numFmts>
  <fonts count="13" x14ac:knownFonts="1">
    <font>
      <sz val="12"/>
      <color theme="1"/>
      <name val="Corbel"/>
      <family val="2"/>
      <scheme val="minor"/>
    </font>
    <font>
      <b/>
      <sz val="12"/>
      <color theme="1"/>
      <name val="Corbel"/>
      <family val="2"/>
      <scheme val="minor"/>
    </font>
    <font>
      <sz val="10"/>
      <color rgb="FF000000"/>
      <name val="Verdana"/>
      <family val="2"/>
    </font>
    <font>
      <sz val="12"/>
      <color theme="1"/>
      <name val="Corbel"/>
      <family val="2"/>
      <scheme val="minor"/>
    </font>
    <font>
      <b/>
      <sz val="10"/>
      <color theme="1"/>
      <name val="Corbel"/>
      <family val="2"/>
      <scheme val="minor"/>
    </font>
    <font>
      <sz val="10"/>
      <color theme="1"/>
      <name val="Corbel"/>
      <family val="2"/>
      <scheme val="minor"/>
    </font>
    <font>
      <sz val="10"/>
      <color rgb="FF3C3C3C"/>
      <name val="Corbel"/>
      <family val="2"/>
      <scheme val="minor"/>
    </font>
    <font>
      <b/>
      <sz val="14"/>
      <color theme="1"/>
      <name val="Corbel"/>
      <family val="2"/>
      <scheme val="minor"/>
    </font>
    <font>
      <sz val="10"/>
      <color rgb="FF000000"/>
      <name val="Verdana"/>
      <family val="2"/>
    </font>
    <font>
      <sz val="18"/>
      <color theme="1"/>
      <name val="Corbel"/>
      <family val="2"/>
      <scheme val="minor"/>
    </font>
    <font>
      <b/>
      <sz val="22"/>
      <name val="Verdana"/>
      <family val="2"/>
    </font>
    <font>
      <sz val="16"/>
      <color theme="1"/>
      <name val="Verdana"/>
      <family val="2"/>
    </font>
    <font>
      <b/>
      <sz val="14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64" fontId="2" fillId="0" borderId="1" xfId="1" applyNumberFormat="1" applyFont="1" applyBorder="1" applyAlignment="1">
      <alignment horizontal="left"/>
    </xf>
    <xf numFmtId="164" fontId="0" fillId="0" borderId="1" xfId="1" applyNumberFormat="1" applyFont="1" applyBorder="1" applyAlignment="1">
      <alignment horizontal="left"/>
    </xf>
    <xf numFmtId="165" fontId="2" fillId="0" borderId="1" xfId="1" applyNumberFormat="1" applyFont="1" applyBorder="1" applyAlignment="1">
      <alignment horizontal="left"/>
    </xf>
    <xf numFmtId="165" fontId="0" fillId="0" borderId="1" xfId="1" applyNumberFormat="1" applyFont="1" applyBorder="1" applyAlignment="1">
      <alignment horizontal="left"/>
    </xf>
    <xf numFmtId="9" fontId="2" fillId="0" borderId="1" xfId="2" applyFont="1" applyBorder="1" applyAlignment="1">
      <alignment horizontal="left"/>
    </xf>
    <xf numFmtId="9" fontId="0" fillId="0" borderId="1" xfId="2" applyFont="1" applyBorder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6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164" fontId="2" fillId="0" borderId="1" xfId="0" applyNumberFormat="1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8" fillId="0" borderId="1" xfId="1" applyNumberFormat="1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165" fontId="12" fillId="0" borderId="1" xfId="1" applyNumberFormat="1" applyFont="1" applyBorder="1" applyAlignment="1">
      <alignment horizontal="left"/>
    </xf>
    <xf numFmtId="9" fontId="12" fillId="0" borderId="1" xfId="2" applyFont="1" applyBorder="1" applyAlignment="1">
      <alignment horizontal="left"/>
    </xf>
    <xf numFmtId="164" fontId="12" fillId="0" borderId="1" xfId="0" applyNumberFormat="1" applyFont="1" applyBorder="1" applyAlignment="1">
      <alignment horizontal="left"/>
    </xf>
    <xf numFmtId="164" fontId="12" fillId="0" borderId="1" xfId="1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0" xfId="0" applyFo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ase">
  <a:themeElements>
    <a:clrScheme name="Verde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Base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se">
      <a:fillStyleLst>
        <a:solidFill>
          <a:schemeClr val="phClr"/>
        </a:solidFill>
        <a:solidFill>
          <a:schemeClr val="phClr">
            <a:tint val="55000"/>
            <a:satMod val="130000"/>
          </a:schemeClr>
        </a:solidFill>
        <a:gradFill rotWithShape="1">
          <a:gsLst>
            <a:gs pos="0">
              <a:schemeClr val="phClr"/>
            </a:gs>
            <a:gs pos="90000">
              <a:schemeClr val="phClr">
                <a:shade val="100000"/>
                <a:satMod val="105000"/>
              </a:schemeClr>
            </a:gs>
            <a:gs pos="100000">
              <a:schemeClr val="phClr">
                <a:shade val="80000"/>
                <a:satMod val="12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53975" cap="flat" cmpd="dbl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hemeClr val="phClr">
                <a:shade val="27000"/>
                <a:satMod val="12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95000"/>
            <a:satMod val="140000"/>
          </a:schemeClr>
        </a:solidFill>
        <a:solidFill>
          <a:schemeClr val="phClr">
            <a:tint val="90000"/>
            <a:shade val="85000"/>
            <a:satMod val="160000"/>
            <a:lumMod val="11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sis" id="{5665723A-49BA-4B57-8411-A56F8F207965}" vid="{90E45F77-AEFC-46EF-A7C1-5B338C297B02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2"/>
  <sheetViews>
    <sheetView tabSelected="1" zoomScale="122" zoomScaleNormal="122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6" sqref="B16"/>
    </sheetView>
  </sheetViews>
  <sheetFormatPr defaultColWidth="11.19921875" defaultRowHeight="13.8" x14ac:dyDescent="0.3"/>
  <cols>
    <col min="1" max="1" width="19.796875" style="11" customWidth="1"/>
    <col min="2" max="2" width="22.19921875" style="15" customWidth="1"/>
    <col min="3" max="3" width="24.796875" style="15" customWidth="1"/>
    <col min="4" max="4" width="17.5" style="15" customWidth="1"/>
    <col min="5" max="5" width="13.796875" style="11" customWidth="1"/>
    <col min="6" max="16384" width="11.19921875" style="11"/>
  </cols>
  <sheetData>
    <row r="1" spans="1:5" ht="40.799999999999997" customHeight="1" x14ac:dyDescent="0.3">
      <c r="A1" s="27" t="s">
        <v>595</v>
      </c>
      <c r="B1" s="27"/>
      <c r="C1" s="27"/>
      <c r="D1" s="27"/>
      <c r="E1" s="27"/>
    </row>
    <row r="2" spans="1:5" s="10" customFormat="1" ht="15.6" x14ac:dyDescent="0.3">
      <c r="A2" s="9" t="s">
        <v>273</v>
      </c>
      <c r="B2" s="13" t="s">
        <v>590</v>
      </c>
      <c r="C2" s="13" t="s">
        <v>591</v>
      </c>
      <c r="D2" s="13" t="s">
        <v>592</v>
      </c>
      <c r="E2" s="9" t="s">
        <v>593</v>
      </c>
    </row>
    <row r="3" spans="1:5" x14ac:dyDescent="0.3">
      <c r="A3" s="11" t="s">
        <v>0</v>
      </c>
      <c r="B3" s="14" t="s">
        <v>1</v>
      </c>
      <c r="C3" s="14" t="s">
        <v>1</v>
      </c>
      <c r="D3" s="14">
        <v>0</v>
      </c>
      <c r="E3" s="12" t="s">
        <v>2</v>
      </c>
    </row>
    <row r="4" spans="1:5" x14ac:dyDescent="0.3">
      <c r="A4" s="11" t="s">
        <v>3</v>
      </c>
      <c r="B4" s="14" t="s">
        <v>4</v>
      </c>
      <c r="C4" s="14" t="s">
        <v>5</v>
      </c>
      <c r="D4" s="14" t="s">
        <v>6</v>
      </c>
      <c r="E4" s="12" t="s">
        <v>7</v>
      </c>
    </row>
    <row r="5" spans="1:5" x14ac:dyDescent="0.3">
      <c r="A5" s="11" t="s">
        <v>8</v>
      </c>
      <c r="B5" s="14" t="s">
        <v>9</v>
      </c>
      <c r="C5" s="14" t="s">
        <v>10</v>
      </c>
      <c r="D5" s="14" t="s">
        <v>11</v>
      </c>
      <c r="E5" s="12" t="s">
        <v>12</v>
      </c>
    </row>
    <row r="6" spans="1:5" x14ac:dyDescent="0.3">
      <c r="A6" s="11" t="s">
        <v>13</v>
      </c>
      <c r="B6" s="14" t="s">
        <v>14</v>
      </c>
      <c r="C6" s="14" t="s">
        <v>15</v>
      </c>
      <c r="D6" s="14" t="s">
        <v>16</v>
      </c>
      <c r="E6" s="12" t="s">
        <v>7</v>
      </c>
    </row>
    <row r="7" spans="1:5" x14ac:dyDescent="0.3">
      <c r="A7" s="11" t="s">
        <v>17</v>
      </c>
      <c r="B7" s="14" t="s">
        <v>18</v>
      </c>
      <c r="C7" s="14" t="s">
        <v>19</v>
      </c>
      <c r="D7" s="14" t="s">
        <v>20</v>
      </c>
      <c r="E7" s="12" t="s">
        <v>12</v>
      </c>
    </row>
    <row r="8" spans="1:5" x14ac:dyDescent="0.3">
      <c r="A8" s="11" t="s">
        <v>21</v>
      </c>
      <c r="B8" s="14" t="s">
        <v>22</v>
      </c>
      <c r="C8" s="14" t="s">
        <v>23</v>
      </c>
      <c r="D8" s="14" t="s">
        <v>24</v>
      </c>
      <c r="E8" s="12" t="s">
        <v>25</v>
      </c>
    </row>
    <row r="9" spans="1:5" x14ac:dyDescent="0.3">
      <c r="A9" s="11" t="s">
        <v>26</v>
      </c>
      <c r="B9" s="14" t="s">
        <v>27</v>
      </c>
      <c r="C9" s="14" t="s">
        <v>28</v>
      </c>
      <c r="D9" s="14" t="s">
        <v>5</v>
      </c>
      <c r="E9" s="12" t="s">
        <v>29</v>
      </c>
    </row>
    <row r="10" spans="1:5" x14ac:dyDescent="0.3">
      <c r="A10" s="11" t="s">
        <v>30</v>
      </c>
      <c r="B10" s="14" t="s">
        <v>31</v>
      </c>
      <c r="C10" s="14" t="s">
        <v>32</v>
      </c>
      <c r="D10" s="14" t="s">
        <v>33</v>
      </c>
      <c r="E10" s="12" t="s">
        <v>25</v>
      </c>
    </row>
    <row r="11" spans="1:5" x14ac:dyDescent="0.3">
      <c r="A11" s="11" t="s">
        <v>34</v>
      </c>
      <c r="B11" s="14" t="s">
        <v>35</v>
      </c>
      <c r="C11" s="14" t="s">
        <v>36</v>
      </c>
      <c r="D11" s="14" t="s">
        <v>37</v>
      </c>
      <c r="E11" s="12" t="s">
        <v>29</v>
      </c>
    </row>
    <row r="12" spans="1:5" x14ac:dyDescent="0.3">
      <c r="A12" s="11" t="s">
        <v>38</v>
      </c>
      <c r="B12" s="14" t="s">
        <v>39</v>
      </c>
      <c r="C12" s="14" t="s">
        <v>40</v>
      </c>
      <c r="D12" s="14" t="s">
        <v>41</v>
      </c>
      <c r="E12" s="12" t="s">
        <v>42</v>
      </c>
    </row>
    <row r="13" spans="1:5" x14ac:dyDescent="0.3">
      <c r="A13" s="11" t="s">
        <v>43</v>
      </c>
      <c r="B13" s="14" t="s">
        <v>44</v>
      </c>
      <c r="C13" s="14" t="s">
        <v>45</v>
      </c>
      <c r="D13" s="14" t="s">
        <v>46</v>
      </c>
      <c r="E13" s="12" t="s">
        <v>2</v>
      </c>
    </row>
    <row r="14" spans="1:5" x14ac:dyDescent="0.3">
      <c r="A14" s="11" t="s">
        <v>47</v>
      </c>
      <c r="B14" s="14" t="s">
        <v>48</v>
      </c>
      <c r="C14" s="14" t="s">
        <v>49</v>
      </c>
      <c r="D14" s="14" t="s">
        <v>50</v>
      </c>
      <c r="E14" s="12" t="s">
        <v>7</v>
      </c>
    </row>
    <row r="15" spans="1:5" x14ac:dyDescent="0.3">
      <c r="A15" s="11" t="s">
        <v>51</v>
      </c>
      <c r="B15" s="14" t="s">
        <v>52</v>
      </c>
      <c r="C15" s="14" t="s">
        <v>53</v>
      </c>
      <c r="D15" s="14" t="s">
        <v>54</v>
      </c>
      <c r="E15" s="12" t="s">
        <v>12</v>
      </c>
    </row>
    <row r="16" spans="1:5" x14ac:dyDescent="0.3">
      <c r="A16" s="11" t="s">
        <v>55</v>
      </c>
      <c r="B16" s="14" t="s">
        <v>49</v>
      </c>
      <c r="C16" s="14" t="s">
        <v>56</v>
      </c>
      <c r="D16" s="14" t="s">
        <v>57</v>
      </c>
      <c r="E16" s="12" t="s">
        <v>7</v>
      </c>
    </row>
    <row r="17" spans="1:5" x14ac:dyDescent="0.3">
      <c r="A17" s="11" t="s">
        <v>58</v>
      </c>
      <c r="B17" s="14" t="s">
        <v>59</v>
      </c>
      <c r="C17" s="14" t="s">
        <v>60</v>
      </c>
      <c r="D17" s="14" t="s">
        <v>61</v>
      </c>
      <c r="E17" s="12" t="s">
        <v>7</v>
      </c>
    </row>
    <row r="18" spans="1:5" x14ac:dyDescent="0.3">
      <c r="A18" s="11" t="s">
        <v>62</v>
      </c>
      <c r="B18" s="14" t="s">
        <v>63</v>
      </c>
      <c r="C18" s="14" t="s">
        <v>53</v>
      </c>
      <c r="D18" s="14" t="s">
        <v>64</v>
      </c>
      <c r="E18" s="12" t="s">
        <v>7</v>
      </c>
    </row>
    <row r="19" spans="1:5" x14ac:dyDescent="0.3">
      <c r="A19" s="11" t="s">
        <v>65</v>
      </c>
      <c r="B19" s="14" t="s">
        <v>66</v>
      </c>
      <c r="C19" s="14" t="s">
        <v>67</v>
      </c>
      <c r="D19" s="14" t="s">
        <v>68</v>
      </c>
      <c r="E19" s="12" t="s">
        <v>29</v>
      </c>
    </row>
    <row r="20" spans="1:5" x14ac:dyDescent="0.3">
      <c r="A20" s="11" t="s">
        <v>69</v>
      </c>
      <c r="B20" s="14" t="s">
        <v>70</v>
      </c>
      <c r="C20" s="14" t="s">
        <v>71</v>
      </c>
      <c r="D20" s="14" t="s">
        <v>72</v>
      </c>
      <c r="E20" s="12" t="s">
        <v>42</v>
      </c>
    </row>
    <row r="21" spans="1:5" x14ac:dyDescent="0.3">
      <c r="A21" s="11" t="s">
        <v>73</v>
      </c>
      <c r="B21" s="14" t="s">
        <v>74</v>
      </c>
      <c r="C21" s="14" t="s">
        <v>75</v>
      </c>
      <c r="D21" s="14" t="s">
        <v>61</v>
      </c>
      <c r="E21" s="12" t="s">
        <v>76</v>
      </c>
    </row>
    <row r="22" spans="1:5" x14ac:dyDescent="0.3">
      <c r="A22" s="11" t="s">
        <v>77</v>
      </c>
      <c r="B22" s="14" t="s">
        <v>78</v>
      </c>
      <c r="C22" s="14" t="s">
        <v>79</v>
      </c>
      <c r="D22" s="14" t="s">
        <v>80</v>
      </c>
      <c r="E22" s="12" t="s">
        <v>12</v>
      </c>
    </row>
    <row r="23" spans="1:5" x14ac:dyDescent="0.3">
      <c r="A23" s="11" t="s">
        <v>81</v>
      </c>
      <c r="B23" s="14" t="s">
        <v>20</v>
      </c>
      <c r="C23" s="14" t="s">
        <v>75</v>
      </c>
      <c r="D23" s="14" t="s">
        <v>82</v>
      </c>
      <c r="E23" s="12" t="s">
        <v>76</v>
      </c>
    </row>
    <row r="24" spans="1:5" x14ac:dyDescent="0.3">
      <c r="A24" s="11" t="s">
        <v>83</v>
      </c>
      <c r="B24" s="14" t="s">
        <v>37</v>
      </c>
      <c r="C24" s="14" t="s">
        <v>50</v>
      </c>
      <c r="D24" s="14" t="s">
        <v>84</v>
      </c>
      <c r="E24" s="12" t="s">
        <v>85</v>
      </c>
    </row>
    <row r="25" spans="1:5" x14ac:dyDescent="0.3">
      <c r="A25" s="11" t="s">
        <v>86</v>
      </c>
      <c r="B25" s="14" t="s">
        <v>87</v>
      </c>
      <c r="C25" s="14" t="s">
        <v>88</v>
      </c>
      <c r="D25" s="14" t="s">
        <v>57</v>
      </c>
      <c r="E25" s="12" t="s">
        <v>12</v>
      </c>
    </row>
    <row r="26" spans="1:5" x14ac:dyDescent="0.3">
      <c r="A26" s="11" t="s">
        <v>89</v>
      </c>
      <c r="B26" s="14" t="s">
        <v>90</v>
      </c>
      <c r="C26" s="14" t="s">
        <v>91</v>
      </c>
      <c r="D26" s="14" t="s">
        <v>92</v>
      </c>
      <c r="E26" s="12" t="s">
        <v>12</v>
      </c>
    </row>
    <row r="27" spans="1:5" x14ac:dyDescent="0.3">
      <c r="A27" s="11" t="s">
        <v>93</v>
      </c>
      <c r="B27" s="14" t="s">
        <v>6</v>
      </c>
      <c r="C27" s="14" t="s">
        <v>94</v>
      </c>
      <c r="D27" s="14" t="s">
        <v>50</v>
      </c>
      <c r="E27" s="12" t="s">
        <v>2</v>
      </c>
    </row>
    <row r="28" spans="1:5" x14ac:dyDescent="0.3">
      <c r="A28" s="11" t="s">
        <v>95</v>
      </c>
      <c r="B28" s="14" t="s">
        <v>96</v>
      </c>
      <c r="C28" s="14" t="s">
        <v>97</v>
      </c>
      <c r="D28" s="14" t="s">
        <v>98</v>
      </c>
      <c r="E28" s="12" t="s">
        <v>42</v>
      </c>
    </row>
    <row r="29" spans="1:5" x14ac:dyDescent="0.3">
      <c r="A29" s="11" t="s">
        <v>99</v>
      </c>
      <c r="B29" s="14" t="s">
        <v>100</v>
      </c>
      <c r="C29" s="14" t="s">
        <v>101</v>
      </c>
      <c r="D29" s="14" t="s">
        <v>102</v>
      </c>
      <c r="E29" s="12" t="s">
        <v>12</v>
      </c>
    </row>
    <row r="30" spans="1:5" x14ac:dyDescent="0.3">
      <c r="A30" s="11" t="s">
        <v>103</v>
      </c>
      <c r="B30" s="14" t="s">
        <v>104</v>
      </c>
      <c r="C30" s="14" t="s">
        <v>105</v>
      </c>
      <c r="D30" s="14" t="s">
        <v>57</v>
      </c>
      <c r="E30" s="12" t="s">
        <v>76</v>
      </c>
    </row>
    <row r="31" spans="1:5" x14ac:dyDescent="0.3">
      <c r="A31" s="11" t="s">
        <v>106</v>
      </c>
      <c r="B31" s="14" t="s">
        <v>107</v>
      </c>
      <c r="C31" s="14" t="s">
        <v>108</v>
      </c>
      <c r="D31" s="14" t="s">
        <v>102</v>
      </c>
      <c r="E31" s="12" t="s">
        <v>12</v>
      </c>
    </row>
    <row r="32" spans="1:5" x14ac:dyDescent="0.3">
      <c r="A32" s="11" t="s">
        <v>109</v>
      </c>
      <c r="B32" s="14" t="s">
        <v>110</v>
      </c>
      <c r="C32" s="14" t="s">
        <v>111</v>
      </c>
      <c r="D32" s="14" t="s">
        <v>112</v>
      </c>
      <c r="E32" s="12" t="s">
        <v>113</v>
      </c>
    </row>
    <row r="33" spans="1:5" x14ac:dyDescent="0.3">
      <c r="A33" s="11" t="s">
        <v>114</v>
      </c>
      <c r="B33" s="14" t="s">
        <v>115</v>
      </c>
      <c r="C33" s="14" t="s">
        <v>16</v>
      </c>
      <c r="D33" s="14" t="s">
        <v>41</v>
      </c>
      <c r="E33" s="12" t="s">
        <v>113</v>
      </c>
    </row>
    <row r="34" spans="1:5" x14ac:dyDescent="0.3">
      <c r="A34" s="11" t="s">
        <v>116</v>
      </c>
      <c r="B34" s="14" t="s">
        <v>117</v>
      </c>
      <c r="C34" s="14" t="s">
        <v>118</v>
      </c>
      <c r="D34" s="14" t="s">
        <v>82</v>
      </c>
      <c r="E34" s="12" t="s">
        <v>113</v>
      </c>
    </row>
    <row r="35" spans="1:5" x14ac:dyDescent="0.3">
      <c r="A35" s="11" t="s">
        <v>119</v>
      </c>
      <c r="B35" s="14" t="s">
        <v>120</v>
      </c>
      <c r="C35" s="14" t="s">
        <v>121</v>
      </c>
      <c r="D35" s="14" t="s">
        <v>122</v>
      </c>
      <c r="E35" s="12" t="s">
        <v>113</v>
      </c>
    </row>
    <row r="36" spans="1:5" x14ac:dyDescent="0.3">
      <c r="A36" s="11" t="s">
        <v>123</v>
      </c>
      <c r="B36" s="14" t="s">
        <v>121</v>
      </c>
      <c r="C36" s="14" t="s">
        <v>124</v>
      </c>
      <c r="D36" s="14" t="s">
        <v>125</v>
      </c>
      <c r="E36" s="12" t="s">
        <v>29</v>
      </c>
    </row>
    <row r="37" spans="1:5" x14ac:dyDescent="0.3">
      <c r="A37" s="11" t="s">
        <v>126</v>
      </c>
      <c r="B37" s="14" t="s">
        <v>127</v>
      </c>
      <c r="C37" s="14" t="s">
        <v>128</v>
      </c>
      <c r="D37" s="14" t="s">
        <v>129</v>
      </c>
      <c r="E37" s="12" t="s">
        <v>113</v>
      </c>
    </row>
    <row r="38" spans="1:5" x14ac:dyDescent="0.3">
      <c r="A38" s="11" t="s">
        <v>130</v>
      </c>
      <c r="B38" s="14" t="s">
        <v>127</v>
      </c>
      <c r="C38" s="14" t="s">
        <v>131</v>
      </c>
      <c r="D38" s="14" t="s">
        <v>132</v>
      </c>
      <c r="E38" s="12" t="s">
        <v>25</v>
      </c>
    </row>
    <row r="39" spans="1:5" x14ac:dyDescent="0.3">
      <c r="A39" s="11" t="s">
        <v>133</v>
      </c>
      <c r="B39" s="14" t="s">
        <v>134</v>
      </c>
      <c r="C39" s="14" t="s">
        <v>135</v>
      </c>
      <c r="D39" s="14" t="s">
        <v>136</v>
      </c>
      <c r="E39" s="12" t="s">
        <v>12</v>
      </c>
    </row>
    <row r="40" spans="1:5" x14ac:dyDescent="0.3">
      <c r="A40" s="11" t="s">
        <v>137</v>
      </c>
      <c r="B40" s="14" t="s">
        <v>134</v>
      </c>
      <c r="C40" s="14" t="s">
        <v>16</v>
      </c>
      <c r="D40" s="14" t="s">
        <v>138</v>
      </c>
      <c r="E40" s="12" t="s">
        <v>113</v>
      </c>
    </row>
    <row r="41" spans="1:5" x14ac:dyDescent="0.3">
      <c r="A41" s="11" t="s">
        <v>139</v>
      </c>
      <c r="B41" s="14" t="s">
        <v>140</v>
      </c>
      <c r="C41" s="14" t="s">
        <v>141</v>
      </c>
      <c r="D41" s="14" t="s">
        <v>142</v>
      </c>
      <c r="E41" s="12" t="s">
        <v>113</v>
      </c>
    </row>
    <row r="42" spans="1:5" x14ac:dyDescent="0.3">
      <c r="A42" s="11" t="s">
        <v>143</v>
      </c>
      <c r="B42" s="14" t="s">
        <v>144</v>
      </c>
      <c r="C42" s="14" t="s">
        <v>16</v>
      </c>
      <c r="D42" s="14" t="s">
        <v>46</v>
      </c>
      <c r="E42" s="12" t="s">
        <v>42</v>
      </c>
    </row>
    <row r="43" spans="1:5" x14ac:dyDescent="0.3">
      <c r="A43" s="11" t="s">
        <v>145</v>
      </c>
      <c r="B43" s="14" t="s">
        <v>146</v>
      </c>
      <c r="C43" s="14" t="s">
        <v>147</v>
      </c>
      <c r="D43" s="14" t="s">
        <v>148</v>
      </c>
      <c r="E43" s="12" t="s">
        <v>29</v>
      </c>
    </row>
    <row r="44" spans="1:5" x14ac:dyDescent="0.3">
      <c r="A44" s="11" t="s">
        <v>149</v>
      </c>
      <c r="B44" s="14" t="s">
        <v>141</v>
      </c>
      <c r="C44" s="14" t="s">
        <v>150</v>
      </c>
      <c r="D44" s="14" t="s">
        <v>151</v>
      </c>
      <c r="E44" s="12" t="s">
        <v>76</v>
      </c>
    </row>
    <row r="45" spans="1:5" x14ac:dyDescent="0.3">
      <c r="A45" s="11" t="s">
        <v>152</v>
      </c>
      <c r="B45" s="14" t="s">
        <v>153</v>
      </c>
      <c r="C45" s="14" t="s">
        <v>154</v>
      </c>
      <c r="D45" s="14" t="s">
        <v>102</v>
      </c>
      <c r="E45" s="12" t="s">
        <v>7</v>
      </c>
    </row>
    <row r="46" spans="1:5" x14ac:dyDescent="0.3">
      <c r="A46" s="11" t="s">
        <v>155</v>
      </c>
      <c r="B46" s="14" t="s">
        <v>156</v>
      </c>
      <c r="C46" s="14" t="s">
        <v>157</v>
      </c>
      <c r="D46" s="14" t="s">
        <v>102</v>
      </c>
      <c r="E46" s="12" t="s">
        <v>7</v>
      </c>
    </row>
    <row r="47" spans="1:5" x14ac:dyDescent="0.3">
      <c r="A47" s="11" t="s">
        <v>158</v>
      </c>
      <c r="B47" s="14" t="s">
        <v>159</v>
      </c>
      <c r="C47" s="14" t="s">
        <v>112</v>
      </c>
      <c r="D47" s="14" t="s">
        <v>16</v>
      </c>
      <c r="E47" s="12" t="s">
        <v>160</v>
      </c>
    </row>
    <row r="48" spans="1:5" x14ac:dyDescent="0.3">
      <c r="A48" s="11" t="s">
        <v>161</v>
      </c>
      <c r="B48" s="14" t="s">
        <v>159</v>
      </c>
      <c r="C48" s="14" t="s">
        <v>162</v>
      </c>
      <c r="D48" s="14" t="s">
        <v>163</v>
      </c>
      <c r="E48" s="12" t="s">
        <v>12</v>
      </c>
    </row>
    <row r="49" spans="1:5" x14ac:dyDescent="0.3">
      <c r="A49" s="11" t="s">
        <v>164</v>
      </c>
      <c r="B49" s="14" t="s">
        <v>16</v>
      </c>
      <c r="C49" s="14" t="s">
        <v>165</v>
      </c>
      <c r="D49" s="14" t="s">
        <v>151</v>
      </c>
      <c r="E49" s="12" t="s">
        <v>12</v>
      </c>
    </row>
    <row r="50" spans="1:5" x14ac:dyDescent="0.3">
      <c r="A50" s="11" t="s">
        <v>166</v>
      </c>
      <c r="B50" s="14" t="s">
        <v>167</v>
      </c>
      <c r="C50" s="14" t="s">
        <v>118</v>
      </c>
      <c r="D50" s="14" t="s">
        <v>168</v>
      </c>
      <c r="E50" s="12" t="s">
        <v>113</v>
      </c>
    </row>
    <row r="51" spans="1:5" x14ac:dyDescent="0.3">
      <c r="A51" s="11" t="s">
        <v>169</v>
      </c>
      <c r="B51" s="14" t="s">
        <v>167</v>
      </c>
      <c r="C51" s="14" t="s">
        <v>170</v>
      </c>
      <c r="D51" s="14" t="s">
        <v>142</v>
      </c>
      <c r="E51" s="12" t="s">
        <v>113</v>
      </c>
    </row>
    <row r="52" spans="1:5" x14ac:dyDescent="0.3">
      <c r="A52" s="11" t="s">
        <v>171</v>
      </c>
      <c r="B52" s="14" t="s">
        <v>162</v>
      </c>
      <c r="C52" s="14" t="s">
        <v>170</v>
      </c>
      <c r="D52" s="14" t="s">
        <v>112</v>
      </c>
      <c r="E52" s="12" t="s">
        <v>113</v>
      </c>
    </row>
    <row r="53" spans="1:5" x14ac:dyDescent="0.3">
      <c r="A53" s="11" t="s">
        <v>172</v>
      </c>
      <c r="B53" s="14" t="s">
        <v>118</v>
      </c>
      <c r="C53" s="14" t="s">
        <v>173</v>
      </c>
      <c r="D53" s="14" t="s">
        <v>46</v>
      </c>
      <c r="E53" s="12" t="s">
        <v>113</v>
      </c>
    </row>
    <row r="54" spans="1:5" x14ac:dyDescent="0.3">
      <c r="A54" s="11" t="s">
        <v>174</v>
      </c>
      <c r="B54" s="14" t="s">
        <v>170</v>
      </c>
      <c r="C54" s="14" t="s">
        <v>175</v>
      </c>
      <c r="D54" s="14" t="s">
        <v>176</v>
      </c>
      <c r="E54" s="12" t="s">
        <v>12</v>
      </c>
    </row>
    <row r="55" spans="1:5" x14ac:dyDescent="0.3">
      <c r="A55" s="11" t="s">
        <v>177</v>
      </c>
      <c r="B55" s="14" t="s">
        <v>178</v>
      </c>
      <c r="C55" s="14" t="s">
        <v>179</v>
      </c>
      <c r="D55" s="14" t="s">
        <v>122</v>
      </c>
      <c r="E55" s="12" t="s">
        <v>42</v>
      </c>
    </row>
    <row r="56" spans="1:5" x14ac:dyDescent="0.3">
      <c r="A56" s="11" t="s">
        <v>180</v>
      </c>
      <c r="B56" s="14" t="s">
        <v>178</v>
      </c>
      <c r="C56" s="14" t="s">
        <v>101</v>
      </c>
      <c r="D56" s="14" t="s">
        <v>181</v>
      </c>
      <c r="E56" s="12" t="s">
        <v>113</v>
      </c>
    </row>
    <row r="57" spans="1:5" x14ac:dyDescent="0.3">
      <c r="A57" s="11" t="s">
        <v>182</v>
      </c>
      <c r="B57" s="14" t="s">
        <v>125</v>
      </c>
      <c r="C57" s="14" t="s">
        <v>36</v>
      </c>
      <c r="D57" s="14" t="s">
        <v>183</v>
      </c>
      <c r="E57" s="12" t="s">
        <v>42</v>
      </c>
    </row>
    <row r="58" spans="1:5" x14ac:dyDescent="0.3">
      <c r="A58" s="11" t="s">
        <v>184</v>
      </c>
      <c r="B58" s="14" t="s">
        <v>125</v>
      </c>
      <c r="C58" s="14" t="s">
        <v>57</v>
      </c>
      <c r="D58" s="14" t="s">
        <v>57</v>
      </c>
      <c r="E58" s="12" t="s">
        <v>29</v>
      </c>
    </row>
    <row r="59" spans="1:5" x14ac:dyDescent="0.3">
      <c r="A59" s="11" t="s">
        <v>185</v>
      </c>
      <c r="B59" s="14" t="s">
        <v>173</v>
      </c>
      <c r="C59" s="14" t="s">
        <v>10</v>
      </c>
      <c r="D59" s="14" t="s">
        <v>186</v>
      </c>
      <c r="E59" s="12" t="s">
        <v>12</v>
      </c>
    </row>
    <row r="60" spans="1:5" x14ac:dyDescent="0.3">
      <c r="A60" s="11" t="s">
        <v>187</v>
      </c>
      <c r="B60" s="14" t="s">
        <v>173</v>
      </c>
      <c r="C60" s="14" t="s">
        <v>10</v>
      </c>
      <c r="D60" s="14" t="s">
        <v>186</v>
      </c>
      <c r="E60" s="12" t="s">
        <v>12</v>
      </c>
    </row>
    <row r="61" spans="1:5" x14ac:dyDescent="0.3">
      <c r="A61" s="11" t="s">
        <v>188</v>
      </c>
      <c r="B61" s="14" t="s">
        <v>101</v>
      </c>
      <c r="C61" s="14" t="s">
        <v>189</v>
      </c>
      <c r="D61" s="14" t="s">
        <v>186</v>
      </c>
      <c r="E61" s="12" t="s">
        <v>7</v>
      </c>
    </row>
    <row r="62" spans="1:5" x14ac:dyDescent="0.3">
      <c r="A62" s="11" t="s">
        <v>190</v>
      </c>
      <c r="B62" s="14" t="s">
        <v>175</v>
      </c>
      <c r="C62" s="14" t="s">
        <v>148</v>
      </c>
      <c r="D62" s="14" t="s">
        <v>191</v>
      </c>
      <c r="E62" s="12" t="s">
        <v>113</v>
      </c>
    </row>
    <row r="63" spans="1:5" x14ac:dyDescent="0.3">
      <c r="A63" s="11" t="s">
        <v>192</v>
      </c>
      <c r="B63" s="14" t="s">
        <v>175</v>
      </c>
      <c r="C63" s="14" t="s">
        <v>193</v>
      </c>
      <c r="D63" s="14" t="s">
        <v>142</v>
      </c>
      <c r="E63" s="12" t="s">
        <v>113</v>
      </c>
    </row>
    <row r="64" spans="1:5" x14ac:dyDescent="0.3">
      <c r="A64" s="11" t="s">
        <v>194</v>
      </c>
      <c r="B64" s="14" t="s">
        <v>91</v>
      </c>
      <c r="C64" s="14" t="s">
        <v>195</v>
      </c>
      <c r="D64" s="14" t="s">
        <v>196</v>
      </c>
      <c r="E64" s="12" t="s">
        <v>42</v>
      </c>
    </row>
    <row r="65" spans="1:5" x14ac:dyDescent="0.3">
      <c r="A65" s="11" t="s">
        <v>197</v>
      </c>
      <c r="B65" s="14" t="s">
        <v>198</v>
      </c>
      <c r="C65" s="14" t="s">
        <v>199</v>
      </c>
      <c r="D65" s="14" t="s">
        <v>191</v>
      </c>
      <c r="E65" s="12" t="s">
        <v>7</v>
      </c>
    </row>
    <row r="66" spans="1:5" x14ac:dyDescent="0.3">
      <c r="A66" s="11" t="s">
        <v>200</v>
      </c>
      <c r="B66" s="14" t="s">
        <v>195</v>
      </c>
      <c r="C66" s="14" t="s">
        <v>148</v>
      </c>
      <c r="D66" s="14" t="s">
        <v>201</v>
      </c>
      <c r="E66" s="12" t="s">
        <v>25</v>
      </c>
    </row>
    <row r="67" spans="1:5" x14ac:dyDescent="0.3">
      <c r="A67" s="11" t="s">
        <v>202</v>
      </c>
      <c r="B67" s="14" t="s">
        <v>193</v>
      </c>
      <c r="C67" s="14" t="s">
        <v>68</v>
      </c>
      <c r="D67" s="14" t="s">
        <v>203</v>
      </c>
      <c r="E67" s="12" t="s">
        <v>113</v>
      </c>
    </row>
    <row r="68" spans="1:5" x14ac:dyDescent="0.3">
      <c r="A68" s="11" t="s">
        <v>204</v>
      </c>
      <c r="B68" s="14" t="s">
        <v>68</v>
      </c>
      <c r="C68" s="14" t="s">
        <v>205</v>
      </c>
      <c r="D68" s="14" t="s">
        <v>72</v>
      </c>
      <c r="E68" s="12" t="s">
        <v>2</v>
      </c>
    </row>
    <row r="69" spans="1:5" x14ac:dyDescent="0.3">
      <c r="A69" s="11" t="s">
        <v>206</v>
      </c>
      <c r="B69" s="14" t="s">
        <v>68</v>
      </c>
      <c r="C69" s="14" t="s">
        <v>207</v>
      </c>
      <c r="D69" s="14" t="s">
        <v>57</v>
      </c>
      <c r="E69" s="12" t="s">
        <v>42</v>
      </c>
    </row>
    <row r="70" spans="1:5" x14ac:dyDescent="0.3">
      <c r="A70" s="11" t="s">
        <v>208</v>
      </c>
      <c r="B70" s="14" t="s">
        <v>68</v>
      </c>
      <c r="C70" s="14" t="s">
        <v>209</v>
      </c>
      <c r="D70" s="14" t="s">
        <v>183</v>
      </c>
      <c r="E70" s="12" t="s">
        <v>42</v>
      </c>
    </row>
    <row r="71" spans="1:5" x14ac:dyDescent="0.3">
      <c r="A71" s="11" t="s">
        <v>210</v>
      </c>
      <c r="B71" s="14" t="s">
        <v>211</v>
      </c>
      <c r="C71" s="14" t="s">
        <v>212</v>
      </c>
      <c r="D71" s="14" t="s">
        <v>142</v>
      </c>
      <c r="E71" s="12" t="s">
        <v>42</v>
      </c>
    </row>
    <row r="72" spans="1:5" x14ac:dyDescent="0.3">
      <c r="A72" s="11" t="s">
        <v>213</v>
      </c>
      <c r="B72" s="14" t="s">
        <v>214</v>
      </c>
      <c r="C72" s="14" t="s">
        <v>108</v>
      </c>
      <c r="D72" s="14" t="s">
        <v>112</v>
      </c>
      <c r="E72" s="12" t="s">
        <v>113</v>
      </c>
    </row>
    <row r="73" spans="1:5" x14ac:dyDescent="0.3">
      <c r="A73" s="11" t="s">
        <v>215</v>
      </c>
      <c r="B73" s="14" t="s">
        <v>214</v>
      </c>
      <c r="C73" s="14" t="s">
        <v>214</v>
      </c>
      <c r="D73" s="14" t="s">
        <v>122</v>
      </c>
      <c r="E73" s="12" t="s">
        <v>42</v>
      </c>
    </row>
    <row r="74" spans="1:5" x14ac:dyDescent="0.3">
      <c r="A74" s="11" t="s">
        <v>216</v>
      </c>
      <c r="B74" s="14" t="s">
        <v>214</v>
      </c>
      <c r="C74" s="14" t="s">
        <v>217</v>
      </c>
      <c r="D74" s="14" t="s">
        <v>163</v>
      </c>
      <c r="E74" s="12" t="s">
        <v>113</v>
      </c>
    </row>
    <row r="75" spans="1:5" x14ac:dyDescent="0.3">
      <c r="A75" s="11" t="s">
        <v>218</v>
      </c>
      <c r="B75" s="14" t="s">
        <v>219</v>
      </c>
      <c r="C75" s="14" t="s">
        <v>220</v>
      </c>
      <c r="D75" s="14" t="s">
        <v>221</v>
      </c>
      <c r="E75" s="12" t="s">
        <v>113</v>
      </c>
    </row>
    <row r="76" spans="1:5" x14ac:dyDescent="0.3">
      <c r="A76" s="11" t="s">
        <v>222</v>
      </c>
      <c r="B76" s="14" t="s">
        <v>108</v>
      </c>
      <c r="C76" s="14" t="s">
        <v>217</v>
      </c>
      <c r="D76" s="14" t="s">
        <v>168</v>
      </c>
      <c r="E76" s="12" t="s">
        <v>113</v>
      </c>
    </row>
    <row r="77" spans="1:5" x14ac:dyDescent="0.3">
      <c r="A77" s="11" t="s">
        <v>223</v>
      </c>
      <c r="B77" s="14" t="s">
        <v>212</v>
      </c>
      <c r="C77" s="14" t="s">
        <v>132</v>
      </c>
      <c r="D77" s="14" t="s">
        <v>142</v>
      </c>
      <c r="E77" s="12" t="s">
        <v>113</v>
      </c>
    </row>
    <row r="78" spans="1:5" x14ac:dyDescent="0.3">
      <c r="A78" s="11" t="s">
        <v>224</v>
      </c>
      <c r="B78" s="14" t="s">
        <v>212</v>
      </c>
      <c r="C78" s="14" t="s">
        <v>220</v>
      </c>
      <c r="D78" s="14" t="s">
        <v>203</v>
      </c>
      <c r="E78" s="12" t="s">
        <v>113</v>
      </c>
    </row>
    <row r="79" spans="1:5" x14ac:dyDescent="0.3">
      <c r="A79" s="11" t="s">
        <v>225</v>
      </c>
      <c r="B79" s="14" t="s">
        <v>220</v>
      </c>
      <c r="C79" s="14" t="s">
        <v>226</v>
      </c>
      <c r="D79" s="14" t="s">
        <v>112</v>
      </c>
      <c r="E79" s="12" t="s">
        <v>113</v>
      </c>
    </row>
    <row r="80" spans="1:5" x14ac:dyDescent="0.3">
      <c r="A80" s="11" t="s">
        <v>227</v>
      </c>
      <c r="B80" s="14" t="s">
        <v>220</v>
      </c>
      <c r="C80" s="14" t="s">
        <v>157</v>
      </c>
      <c r="D80" s="14" t="s">
        <v>82</v>
      </c>
      <c r="E80" s="12" t="s">
        <v>113</v>
      </c>
    </row>
    <row r="81" spans="1:5" x14ac:dyDescent="0.3">
      <c r="A81" s="11" t="s">
        <v>228</v>
      </c>
      <c r="B81" s="14" t="s">
        <v>132</v>
      </c>
      <c r="C81" s="14" t="s">
        <v>229</v>
      </c>
      <c r="D81" s="14" t="s">
        <v>72</v>
      </c>
      <c r="E81" s="12" t="s">
        <v>12</v>
      </c>
    </row>
    <row r="82" spans="1:5" x14ac:dyDescent="0.3">
      <c r="A82" s="11" t="s">
        <v>230</v>
      </c>
      <c r="B82" s="14" t="s">
        <v>231</v>
      </c>
      <c r="C82" s="14" t="s">
        <v>232</v>
      </c>
      <c r="D82" s="14" t="s">
        <v>102</v>
      </c>
      <c r="E82" s="12" t="s">
        <v>113</v>
      </c>
    </row>
    <row r="83" spans="1:5" x14ac:dyDescent="0.3">
      <c r="A83" s="11" t="s">
        <v>233</v>
      </c>
      <c r="B83" s="14" t="s">
        <v>205</v>
      </c>
      <c r="C83" s="14" t="s">
        <v>165</v>
      </c>
      <c r="D83" s="14" t="s">
        <v>61</v>
      </c>
      <c r="E83" s="12" t="s">
        <v>7</v>
      </c>
    </row>
    <row r="84" spans="1:5" x14ac:dyDescent="0.3">
      <c r="A84" s="11" t="s">
        <v>234</v>
      </c>
      <c r="B84" s="14" t="s">
        <v>189</v>
      </c>
      <c r="C84" s="14" t="s">
        <v>235</v>
      </c>
      <c r="D84" s="14" t="s">
        <v>236</v>
      </c>
      <c r="E84" s="12" t="s">
        <v>12</v>
      </c>
    </row>
    <row r="85" spans="1:5" x14ac:dyDescent="0.3">
      <c r="A85" s="11" t="s">
        <v>237</v>
      </c>
      <c r="B85" s="14" t="s">
        <v>54</v>
      </c>
      <c r="C85" s="14" t="s">
        <v>148</v>
      </c>
      <c r="D85" s="14" t="s">
        <v>176</v>
      </c>
      <c r="E85" s="12" t="s">
        <v>76</v>
      </c>
    </row>
    <row r="86" spans="1:5" x14ac:dyDescent="0.3">
      <c r="A86" s="11" t="s">
        <v>238</v>
      </c>
      <c r="B86" s="14" t="s">
        <v>239</v>
      </c>
      <c r="C86" s="14" t="s">
        <v>135</v>
      </c>
      <c r="D86" s="14" t="s">
        <v>122</v>
      </c>
      <c r="E86" s="12" t="s">
        <v>42</v>
      </c>
    </row>
    <row r="87" spans="1:5" x14ac:dyDescent="0.3">
      <c r="A87" s="11" t="s">
        <v>240</v>
      </c>
      <c r="B87" s="14" t="s">
        <v>239</v>
      </c>
      <c r="C87" s="14" t="s">
        <v>157</v>
      </c>
      <c r="D87" s="14" t="s">
        <v>163</v>
      </c>
      <c r="E87" s="12" t="s">
        <v>12</v>
      </c>
    </row>
    <row r="88" spans="1:5" x14ac:dyDescent="0.3">
      <c r="A88" s="11" t="s">
        <v>241</v>
      </c>
      <c r="B88" s="14" t="s">
        <v>135</v>
      </c>
      <c r="C88" s="14" t="s">
        <v>242</v>
      </c>
      <c r="D88" s="14" t="s">
        <v>136</v>
      </c>
      <c r="E88" s="12" t="s">
        <v>7</v>
      </c>
    </row>
    <row r="89" spans="1:5" x14ac:dyDescent="0.3">
      <c r="A89" s="11" t="s">
        <v>243</v>
      </c>
      <c r="B89" s="14" t="s">
        <v>135</v>
      </c>
      <c r="C89" s="14" t="s">
        <v>244</v>
      </c>
      <c r="D89" s="14" t="s">
        <v>102</v>
      </c>
      <c r="E89" s="12" t="s">
        <v>76</v>
      </c>
    </row>
    <row r="90" spans="1:5" x14ac:dyDescent="0.3">
      <c r="A90" s="11" t="s">
        <v>245</v>
      </c>
      <c r="B90" s="14" t="s">
        <v>246</v>
      </c>
      <c r="C90" s="14" t="s">
        <v>79</v>
      </c>
      <c r="D90" s="14" t="s">
        <v>181</v>
      </c>
      <c r="E90" s="12" t="s">
        <v>12</v>
      </c>
    </row>
    <row r="91" spans="1:5" x14ac:dyDescent="0.3">
      <c r="A91" s="11" t="s">
        <v>247</v>
      </c>
      <c r="B91" s="14" t="s">
        <v>229</v>
      </c>
      <c r="C91" s="14" t="s">
        <v>150</v>
      </c>
      <c r="D91" s="14" t="s">
        <v>72</v>
      </c>
      <c r="E91" s="12" t="s">
        <v>42</v>
      </c>
    </row>
    <row r="92" spans="1:5" x14ac:dyDescent="0.3">
      <c r="A92" s="11" t="s">
        <v>248</v>
      </c>
      <c r="B92" s="14" t="s">
        <v>229</v>
      </c>
      <c r="C92" s="14" t="s">
        <v>249</v>
      </c>
      <c r="D92" s="14" t="s">
        <v>250</v>
      </c>
      <c r="E92" s="12" t="s">
        <v>7</v>
      </c>
    </row>
    <row r="93" spans="1:5" x14ac:dyDescent="0.3">
      <c r="A93" s="11" t="s">
        <v>251</v>
      </c>
      <c r="B93" s="14" t="s">
        <v>154</v>
      </c>
      <c r="C93" s="14" t="s">
        <v>154</v>
      </c>
      <c r="D93" s="14" t="s">
        <v>252</v>
      </c>
      <c r="E93" s="12" t="s">
        <v>42</v>
      </c>
    </row>
    <row r="94" spans="1:5" x14ac:dyDescent="0.3">
      <c r="A94" s="11" t="s">
        <v>253</v>
      </c>
      <c r="B94" s="14" t="s">
        <v>157</v>
      </c>
      <c r="C94" s="14" t="s">
        <v>254</v>
      </c>
      <c r="D94" s="14" t="s">
        <v>72</v>
      </c>
      <c r="E94" s="12" t="s">
        <v>7</v>
      </c>
    </row>
    <row r="95" spans="1:5" x14ac:dyDescent="0.3">
      <c r="A95" s="11" t="s">
        <v>255</v>
      </c>
      <c r="B95" s="14" t="s">
        <v>256</v>
      </c>
      <c r="C95" s="14" t="s">
        <v>148</v>
      </c>
      <c r="D95" s="14" t="s">
        <v>122</v>
      </c>
      <c r="E95" s="12" t="s">
        <v>113</v>
      </c>
    </row>
    <row r="96" spans="1:5" x14ac:dyDescent="0.3">
      <c r="A96" s="11" t="s">
        <v>257</v>
      </c>
      <c r="B96" s="14" t="s">
        <v>148</v>
      </c>
      <c r="C96" s="14" t="s">
        <v>79</v>
      </c>
      <c r="D96" s="14" t="s">
        <v>203</v>
      </c>
      <c r="E96" s="12" t="s">
        <v>42</v>
      </c>
    </row>
    <row r="97" spans="1:5" x14ac:dyDescent="0.3">
      <c r="A97" s="11" t="s">
        <v>258</v>
      </c>
      <c r="B97" s="14" t="s">
        <v>259</v>
      </c>
      <c r="C97" s="14" t="s">
        <v>260</v>
      </c>
      <c r="D97" s="14" t="s">
        <v>129</v>
      </c>
      <c r="E97" s="12" t="s">
        <v>25</v>
      </c>
    </row>
    <row r="98" spans="1:5" x14ac:dyDescent="0.3">
      <c r="A98" s="11" t="s">
        <v>261</v>
      </c>
      <c r="B98" s="14" t="s">
        <v>53</v>
      </c>
      <c r="C98" s="14" t="s">
        <v>262</v>
      </c>
      <c r="D98" s="14" t="s">
        <v>112</v>
      </c>
      <c r="E98" s="12" t="s">
        <v>42</v>
      </c>
    </row>
    <row r="99" spans="1:5" x14ac:dyDescent="0.3">
      <c r="A99" s="11" t="s">
        <v>263</v>
      </c>
      <c r="B99" s="14" t="s">
        <v>264</v>
      </c>
      <c r="C99" s="14" t="s">
        <v>254</v>
      </c>
      <c r="D99" s="14" t="s">
        <v>181</v>
      </c>
      <c r="E99" s="12" t="s">
        <v>42</v>
      </c>
    </row>
    <row r="100" spans="1:5" x14ac:dyDescent="0.3">
      <c r="A100" s="11" t="s">
        <v>265</v>
      </c>
      <c r="B100" s="14" t="s">
        <v>264</v>
      </c>
      <c r="C100" s="14" t="s">
        <v>266</v>
      </c>
      <c r="D100" s="14" t="s">
        <v>112</v>
      </c>
      <c r="E100" s="12" t="s">
        <v>113</v>
      </c>
    </row>
    <row r="101" spans="1:5" x14ac:dyDescent="0.3">
      <c r="A101" s="11" t="s">
        <v>267</v>
      </c>
      <c r="B101" s="14" t="s">
        <v>262</v>
      </c>
      <c r="C101" s="14" t="s">
        <v>268</v>
      </c>
      <c r="D101" s="14" t="s">
        <v>112</v>
      </c>
      <c r="E101" s="12" t="s">
        <v>113</v>
      </c>
    </row>
    <row r="102" spans="1:5" x14ac:dyDescent="0.3">
      <c r="A102" s="11" t="s">
        <v>269</v>
      </c>
      <c r="B102" s="14" t="s">
        <v>266</v>
      </c>
      <c r="C102" s="14" t="s">
        <v>270</v>
      </c>
      <c r="D102" s="14" t="s">
        <v>50</v>
      </c>
      <c r="E102" s="12" t="s">
        <v>7</v>
      </c>
    </row>
  </sheetData>
  <mergeCells count="1">
    <mergeCell ref="A1:E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A44AB-26B9-4247-8746-8CC52E6AF7BD}">
  <dimension ref="A1:D15"/>
  <sheetViews>
    <sheetView workbookViewId="0">
      <selection sqref="A1:D14"/>
    </sheetView>
  </sheetViews>
  <sheetFormatPr defaultRowHeight="15.6" x14ac:dyDescent="0.3"/>
  <cols>
    <col min="1" max="1" width="22.296875" bestFit="1" customWidth="1"/>
  </cols>
  <sheetData>
    <row r="1" spans="1:4" ht="23.4" x14ac:dyDescent="0.45">
      <c r="A1" s="28" t="s">
        <v>611</v>
      </c>
      <c r="B1" s="28"/>
      <c r="C1" s="28"/>
      <c r="D1" s="28"/>
    </row>
    <row r="2" spans="1:4" x14ac:dyDescent="0.3">
      <c r="A2" t="s">
        <v>610</v>
      </c>
      <c r="B2">
        <f>COUNTIF(Folhas_de_pagamento!C2:C232,"*EPL*")</f>
        <v>0</v>
      </c>
    </row>
    <row r="3" spans="1:4" x14ac:dyDescent="0.3">
      <c r="A3" t="s">
        <v>599</v>
      </c>
      <c r="B3">
        <f>COUNTIF(Folhas_de_pagamento!D3:D233,Analises!A3)</f>
        <v>0</v>
      </c>
    </row>
    <row r="4" spans="1:4" x14ac:dyDescent="0.3">
      <c r="A4" t="s">
        <v>598</v>
      </c>
      <c r="B4">
        <f>COUNTIF(Folhas_de_pagamento!D4:D234,Analises!A4)</f>
        <v>0</v>
      </c>
    </row>
    <row r="5" spans="1:4" x14ac:dyDescent="0.3">
      <c r="A5" t="s">
        <v>600</v>
      </c>
      <c r="B5">
        <f>COUNTIF(Folhas_de_pagamento!D5:D235,Analises!A5)</f>
        <v>0</v>
      </c>
    </row>
    <row r="6" spans="1:4" x14ac:dyDescent="0.3">
      <c r="A6" t="s">
        <v>601</v>
      </c>
      <c r="B6">
        <f>COUNTIF(Folhas_de_pagamento!D6:D236,Analises!A6)</f>
        <v>0</v>
      </c>
    </row>
    <row r="7" spans="1:4" x14ac:dyDescent="0.3">
      <c r="A7" t="s">
        <v>602</v>
      </c>
      <c r="B7">
        <f>COUNTIF(Folhas_de_pagamento!D7:D237,Analises!A7)</f>
        <v>0</v>
      </c>
    </row>
    <row r="8" spans="1:4" x14ac:dyDescent="0.3">
      <c r="A8" t="s">
        <v>603</v>
      </c>
      <c r="B8">
        <f>COUNTIF(Folhas_de_pagamento!D8:D238,Analises!A8)</f>
        <v>0</v>
      </c>
    </row>
    <row r="9" spans="1:4" x14ac:dyDescent="0.3">
      <c r="A9" t="s">
        <v>604</v>
      </c>
      <c r="B9">
        <f>COUNTIF(Folhas_de_pagamento!D9:D239,Analises!A9)</f>
        <v>0</v>
      </c>
    </row>
    <row r="10" spans="1:4" x14ac:dyDescent="0.3">
      <c r="A10" t="s">
        <v>605</v>
      </c>
      <c r="B10">
        <f>COUNTIF(Folhas_de_pagamento!D10:D240,Analises!A10)</f>
        <v>0</v>
      </c>
    </row>
    <row r="11" spans="1:4" x14ac:dyDescent="0.3">
      <c r="A11" t="s">
        <v>606</v>
      </c>
      <c r="B11">
        <f>COUNTIF(Folhas_de_pagamento!D11:D241,Analises!A11)</f>
        <v>0</v>
      </c>
    </row>
    <row r="12" spans="1:4" x14ac:dyDescent="0.3">
      <c r="A12" t="s">
        <v>607</v>
      </c>
      <c r="B12">
        <f>COUNTIF(Folhas_de_pagamento!D12:D242,Analises!A12)</f>
        <v>0</v>
      </c>
    </row>
    <row r="13" spans="1:4" x14ac:dyDescent="0.3">
      <c r="A13" t="s">
        <v>608</v>
      </c>
      <c r="B13">
        <f>COUNTIF(Folhas_de_pagamento!D13:D243,Analises!A13)</f>
        <v>0</v>
      </c>
    </row>
    <row r="14" spans="1:4" x14ac:dyDescent="0.3">
      <c r="A14" t="s">
        <v>609</v>
      </c>
      <c r="B14">
        <f>COUNTIF(Folhas_de_pagamento!D14:D244,Analises!A14)</f>
        <v>0</v>
      </c>
    </row>
    <row r="15" spans="1:4" x14ac:dyDescent="0.3">
      <c r="A15" t="s">
        <v>606</v>
      </c>
      <c r="B15">
        <f>COUNTIF(Folhas_de_pagamento!D15:D245,Analises!A15)</f>
        <v>0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6"/>
  <sheetViews>
    <sheetView zoomScale="84" zoomScaleNormal="94" workbookViewId="0">
      <pane xSplit="1" ySplit="1" topLeftCell="G3" activePane="bottomRight" state="frozen"/>
      <selection pane="topRight" activeCell="B1" sqref="B1"/>
      <selection pane="bottomLeft" activeCell="A2" sqref="A2"/>
      <selection pane="bottomRight" activeCell="B13" sqref="B13"/>
    </sheetView>
  </sheetViews>
  <sheetFormatPr defaultColWidth="10.796875" defaultRowHeight="15.6" x14ac:dyDescent="0.3"/>
  <cols>
    <col min="1" max="1" width="12.09765625" style="2" bestFit="1" customWidth="1"/>
    <col min="2" max="2" width="32" style="2" bestFit="1" customWidth="1"/>
    <col min="3" max="3" width="28.09765625" style="2" bestFit="1" customWidth="1"/>
    <col min="4" max="4" width="11" style="2" customWidth="1"/>
    <col min="5" max="5" width="47" style="6" bestFit="1" customWidth="1"/>
    <col min="6" max="6" width="53.69921875" style="8" bestFit="1" customWidth="1"/>
    <col min="7" max="7" width="21.3984375" style="17" bestFit="1" customWidth="1"/>
    <col min="8" max="8" width="34.8984375" style="2" bestFit="1" customWidth="1"/>
    <col min="9" max="9" width="51.796875" style="4" bestFit="1" customWidth="1"/>
    <col min="10" max="10" width="34.69921875" style="8" customWidth="1"/>
    <col min="11" max="16384" width="10.796875" style="2"/>
  </cols>
  <sheetData>
    <row r="1" spans="1:15" s="25" customFormat="1" ht="67.8" customHeight="1" x14ac:dyDescent="0.3">
      <c r="A1" s="25" t="s">
        <v>594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5" s="24" customFormat="1" ht="18" x14ac:dyDescent="0.35">
      <c r="A2" s="19" t="s">
        <v>271</v>
      </c>
      <c r="B2" s="19" t="s">
        <v>272</v>
      </c>
      <c r="C2" s="19" t="s">
        <v>583</v>
      </c>
      <c r="D2" s="19" t="s">
        <v>584</v>
      </c>
      <c r="E2" s="20" t="s">
        <v>585</v>
      </c>
      <c r="F2" s="21" t="s">
        <v>589</v>
      </c>
      <c r="G2" s="22" t="s">
        <v>586</v>
      </c>
      <c r="H2" s="19" t="s">
        <v>587</v>
      </c>
      <c r="I2" s="23" t="s">
        <v>588</v>
      </c>
      <c r="J2" s="21" t="s">
        <v>596</v>
      </c>
    </row>
    <row r="3" spans="1:15" ht="23.4" x14ac:dyDescent="0.45">
      <c r="A3" s="1">
        <v>1</v>
      </c>
      <c r="B3" s="1">
        <v>1</v>
      </c>
      <c r="C3" s="1" t="s">
        <v>274</v>
      </c>
      <c r="D3" s="1" t="s">
        <v>275</v>
      </c>
      <c r="E3" s="5">
        <v>8109912</v>
      </c>
      <c r="F3" s="7">
        <v>0.6</v>
      </c>
      <c r="G3" s="16">
        <v>202747812</v>
      </c>
      <c r="H3" s="1">
        <v>3</v>
      </c>
      <c r="I3" s="3">
        <v>31660772</v>
      </c>
      <c r="J3" s="7">
        <v>265</v>
      </c>
      <c r="L3" s="28" t="s">
        <v>611</v>
      </c>
      <c r="M3" s="28"/>
      <c r="N3" s="28"/>
      <c r="O3" s="28"/>
    </row>
    <row r="4" spans="1:15" x14ac:dyDescent="0.3">
      <c r="A4" s="1">
        <v>2</v>
      </c>
      <c r="B4" s="1">
        <v>5</v>
      </c>
      <c r="C4" s="1" t="s">
        <v>276</v>
      </c>
      <c r="D4" s="1" t="s">
        <v>277</v>
      </c>
      <c r="E4" s="5">
        <v>8031948</v>
      </c>
      <c r="F4" s="7">
        <v>12.3</v>
      </c>
      <c r="G4" s="16">
        <v>208830659</v>
      </c>
      <c r="H4" s="1">
        <v>2</v>
      </c>
      <c r="I4" s="3">
        <v>35789052</v>
      </c>
      <c r="J4" s="7">
        <v>5</v>
      </c>
      <c r="L4" t="s">
        <v>610</v>
      </c>
      <c r="M4">
        <f>COUNTIF(D3:D294,D3=L4)</f>
        <v>0</v>
      </c>
      <c r="N4"/>
      <c r="O4"/>
    </row>
    <row r="5" spans="1:15" x14ac:dyDescent="0.3">
      <c r="A5" s="1">
        <v>3</v>
      </c>
      <c r="B5" s="1">
        <v>2</v>
      </c>
      <c r="C5" s="1" t="s">
        <v>278</v>
      </c>
      <c r="D5" s="1" t="s">
        <v>277</v>
      </c>
      <c r="E5" s="5">
        <v>7778336</v>
      </c>
      <c r="F5" s="7">
        <v>4.0999999999999996</v>
      </c>
      <c r="G5" s="16">
        <v>241128402</v>
      </c>
      <c r="H5" s="1">
        <v>1</v>
      </c>
      <c r="I5" s="3">
        <v>26226200</v>
      </c>
      <c r="J5" s="7">
        <v>79</v>
      </c>
      <c r="L5" t="s">
        <v>599</v>
      </c>
      <c r="M5">
        <f t="shared" ref="M5:M16" si="0">COUNTIF(D4:D295,D4=L5)</f>
        <v>0</v>
      </c>
      <c r="N5"/>
      <c r="O5"/>
    </row>
    <row r="6" spans="1:15" x14ac:dyDescent="0.3">
      <c r="A6" s="1">
        <v>4</v>
      </c>
      <c r="B6" s="1">
        <v>3</v>
      </c>
      <c r="C6" s="1" t="s">
        <v>279</v>
      </c>
      <c r="D6" s="1" t="s">
        <v>280</v>
      </c>
      <c r="E6" s="5">
        <v>7586438</v>
      </c>
      <c r="F6" s="7">
        <v>3.7</v>
      </c>
      <c r="G6" s="16">
        <v>189660944</v>
      </c>
      <c r="H6" s="1">
        <v>5</v>
      </c>
      <c r="I6" s="3">
        <v>36995660</v>
      </c>
      <c r="J6" s="7">
        <v>9</v>
      </c>
      <c r="L6" t="s">
        <v>598</v>
      </c>
      <c r="M6">
        <f t="shared" si="0"/>
        <v>0</v>
      </c>
      <c r="N6"/>
      <c r="O6"/>
    </row>
    <row r="7" spans="1:15" x14ac:dyDescent="0.3">
      <c r="A7" s="1">
        <v>5</v>
      </c>
      <c r="B7" s="1">
        <v>4</v>
      </c>
      <c r="C7" s="1" t="s">
        <v>281</v>
      </c>
      <c r="D7" s="1" t="s">
        <v>280</v>
      </c>
      <c r="E7" s="5">
        <v>7446562</v>
      </c>
      <c r="F7" s="7">
        <v>2.4</v>
      </c>
      <c r="G7" s="16">
        <v>193610600</v>
      </c>
      <c r="H7" s="1">
        <v>4</v>
      </c>
      <c r="I7" s="3">
        <v>37975600</v>
      </c>
      <c r="J7" s="7">
        <v>12</v>
      </c>
      <c r="L7" t="s">
        <v>600</v>
      </c>
      <c r="M7">
        <f t="shared" si="0"/>
        <v>0</v>
      </c>
      <c r="N7"/>
      <c r="O7"/>
    </row>
    <row r="8" spans="1:15" x14ac:dyDescent="0.3">
      <c r="A8" s="1">
        <v>6</v>
      </c>
      <c r="B8" s="1">
        <v>16</v>
      </c>
      <c r="C8" s="1" t="s">
        <v>282</v>
      </c>
      <c r="D8" s="1" t="s">
        <v>283</v>
      </c>
      <c r="E8" s="5">
        <v>6814067</v>
      </c>
      <c r="F8" s="7">
        <v>23.6</v>
      </c>
      <c r="G8" s="16">
        <v>102211009</v>
      </c>
      <c r="H8" s="1">
        <v>51</v>
      </c>
      <c r="I8" s="3">
        <v>24108812</v>
      </c>
      <c r="J8" s="7">
        <v>65</v>
      </c>
      <c r="L8" t="s">
        <v>601</v>
      </c>
      <c r="M8">
        <f t="shared" si="0"/>
        <v>0</v>
      </c>
      <c r="N8"/>
      <c r="O8"/>
    </row>
    <row r="9" spans="1:15" x14ac:dyDescent="0.3">
      <c r="A9" s="1">
        <v>7</v>
      </c>
      <c r="B9" s="1">
        <v>9</v>
      </c>
      <c r="C9" s="1" t="s">
        <v>284</v>
      </c>
      <c r="D9" s="1" t="s">
        <v>285</v>
      </c>
      <c r="E9" s="5">
        <v>6689311</v>
      </c>
      <c r="F9" s="7">
        <v>8.6999999999999993</v>
      </c>
      <c r="G9" s="16">
        <v>173922091</v>
      </c>
      <c r="H9" s="1">
        <v>7</v>
      </c>
      <c r="I9" s="3">
        <v>29919552</v>
      </c>
      <c r="J9" s="7">
        <v>36</v>
      </c>
      <c r="L9" t="s">
        <v>602</v>
      </c>
      <c r="M9">
        <f t="shared" si="0"/>
        <v>0</v>
      </c>
      <c r="N9"/>
      <c r="O9"/>
    </row>
    <row r="10" spans="1:15" x14ac:dyDescent="0.3">
      <c r="A10" s="1">
        <v>8</v>
      </c>
      <c r="B10" s="1">
        <v>12</v>
      </c>
      <c r="C10" s="1" t="s">
        <v>286</v>
      </c>
      <c r="D10" s="1" t="s">
        <v>275</v>
      </c>
      <c r="E10" s="5">
        <v>6566775</v>
      </c>
      <c r="F10" s="7">
        <v>8.9</v>
      </c>
      <c r="G10" s="16">
        <v>164169367</v>
      </c>
      <c r="H10" s="1">
        <v>8</v>
      </c>
      <c r="I10" s="3">
        <v>27985256</v>
      </c>
      <c r="J10" s="7">
        <v>38</v>
      </c>
      <c r="L10" t="s">
        <v>603</v>
      </c>
      <c r="M10">
        <f t="shared" si="0"/>
        <v>0</v>
      </c>
      <c r="N10"/>
      <c r="O10"/>
    </row>
    <row r="11" spans="1:15" x14ac:dyDescent="0.3">
      <c r="A11" s="1">
        <v>9</v>
      </c>
      <c r="B11" s="1">
        <v>19</v>
      </c>
      <c r="C11" s="1" t="s">
        <v>287</v>
      </c>
      <c r="D11" s="1" t="s">
        <v>283</v>
      </c>
      <c r="E11" s="5">
        <v>6055463</v>
      </c>
      <c r="F11" s="7">
        <v>14.5</v>
      </c>
      <c r="G11" s="16">
        <v>78721016</v>
      </c>
      <c r="H11" s="1">
        <v>76</v>
      </c>
      <c r="I11" s="3">
        <v>24709880</v>
      </c>
      <c r="J11" s="7">
        <v>51</v>
      </c>
      <c r="L11" t="s">
        <v>604</v>
      </c>
      <c r="M11">
        <f t="shared" si="0"/>
        <v>0</v>
      </c>
      <c r="N11"/>
      <c r="O11"/>
    </row>
    <row r="12" spans="1:15" x14ac:dyDescent="0.3">
      <c r="A12" s="1">
        <v>10</v>
      </c>
      <c r="B12" s="1">
        <v>8</v>
      </c>
      <c r="C12" s="1" t="s">
        <v>288</v>
      </c>
      <c r="D12" s="1" t="s">
        <v>275</v>
      </c>
      <c r="E12" s="5">
        <v>6053686</v>
      </c>
      <c r="F12" s="7">
        <v>-3</v>
      </c>
      <c r="G12" s="16">
        <v>151342140</v>
      </c>
      <c r="H12" s="1">
        <v>12</v>
      </c>
      <c r="I12" s="3">
        <v>30990544</v>
      </c>
      <c r="J12" s="7">
        <v>3</v>
      </c>
      <c r="L12" t="s">
        <v>605</v>
      </c>
      <c r="M12">
        <f t="shared" si="0"/>
        <v>0</v>
      </c>
      <c r="N12"/>
      <c r="O12"/>
    </row>
    <row r="13" spans="1:15" x14ac:dyDescent="0.3">
      <c r="A13" s="1">
        <v>11</v>
      </c>
      <c r="B13" s="1">
        <v>15</v>
      </c>
      <c r="C13" s="1" t="s">
        <v>289</v>
      </c>
      <c r="D13" s="1" t="s">
        <v>275</v>
      </c>
      <c r="E13" s="5">
        <v>5928172</v>
      </c>
      <c r="F13" s="7">
        <v>5.0999999999999996</v>
      </c>
      <c r="G13" s="16">
        <v>148204312</v>
      </c>
      <c r="H13" s="1">
        <v>15</v>
      </c>
      <c r="I13" s="3">
        <v>25892620</v>
      </c>
      <c r="J13" s="7">
        <v>38</v>
      </c>
      <c r="L13" t="s">
        <v>606</v>
      </c>
      <c r="M13">
        <f t="shared" si="0"/>
        <v>0</v>
      </c>
      <c r="N13"/>
      <c r="O13"/>
    </row>
    <row r="14" spans="1:15" x14ac:dyDescent="0.3">
      <c r="A14" s="1">
        <v>12</v>
      </c>
      <c r="B14" s="1">
        <v>20</v>
      </c>
      <c r="C14" s="1" t="s">
        <v>290</v>
      </c>
      <c r="D14" s="1" t="s">
        <v>283</v>
      </c>
      <c r="E14" s="5">
        <v>5867808</v>
      </c>
      <c r="F14" s="7">
        <v>13.5</v>
      </c>
      <c r="G14" s="16">
        <v>88017120</v>
      </c>
      <c r="H14" s="1">
        <v>67</v>
      </c>
      <c r="I14" s="3">
        <v>24425648</v>
      </c>
      <c r="J14" s="7">
        <v>10</v>
      </c>
      <c r="L14" t="s">
        <v>607</v>
      </c>
      <c r="M14">
        <f t="shared" si="0"/>
        <v>0</v>
      </c>
      <c r="N14"/>
      <c r="O14"/>
    </row>
    <row r="15" spans="1:15" x14ac:dyDescent="0.3">
      <c r="A15" s="1">
        <v>13</v>
      </c>
      <c r="B15" s="1">
        <v>14</v>
      </c>
      <c r="C15" s="1" t="s">
        <v>291</v>
      </c>
      <c r="D15" s="1" t="s">
        <v>277</v>
      </c>
      <c r="E15" s="5">
        <v>5824233</v>
      </c>
      <c r="F15" s="7">
        <v>2</v>
      </c>
      <c r="G15" s="16">
        <v>163078526</v>
      </c>
      <c r="H15" s="1">
        <v>9</v>
      </c>
      <c r="I15" s="3">
        <v>24444264</v>
      </c>
      <c r="J15" s="7">
        <v>31</v>
      </c>
      <c r="L15" t="s">
        <v>608</v>
      </c>
      <c r="M15">
        <f t="shared" si="0"/>
        <v>0</v>
      </c>
      <c r="N15"/>
      <c r="O15"/>
    </row>
    <row r="16" spans="1:15" x14ac:dyDescent="0.3">
      <c r="A16" s="1">
        <v>14</v>
      </c>
      <c r="B16" s="1">
        <v>11</v>
      </c>
      <c r="C16" s="1" t="s">
        <v>292</v>
      </c>
      <c r="D16" s="1" t="s">
        <v>277</v>
      </c>
      <c r="E16" s="5">
        <v>5791002</v>
      </c>
      <c r="F16" s="7">
        <v>-5.5</v>
      </c>
      <c r="G16" s="16">
        <v>179521056</v>
      </c>
      <c r="H16" s="1">
        <v>6</v>
      </c>
      <c r="I16" s="3">
        <v>27555684</v>
      </c>
      <c r="J16" s="7">
        <v>43</v>
      </c>
      <c r="L16" t="s">
        <v>609</v>
      </c>
      <c r="M16">
        <f t="shared" si="0"/>
        <v>0</v>
      </c>
      <c r="N16"/>
      <c r="O16"/>
    </row>
    <row r="17" spans="1:10" x14ac:dyDescent="0.3">
      <c r="A17" s="1">
        <v>15</v>
      </c>
      <c r="B17" s="1">
        <v>22</v>
      </c>
      <c r="C17" s="1" t="s">
        <v>293</v>
      </c>
      <c r="D17" s="1" t="s">
        <v>277</v>
      </c>
      <c r="E17" s="5">
        <v>5717792</v>
      </c>
      <c r="F17" s="7">
        <v>13.9</v>
      </c>
      <c r="G17" s="16">
        <v>154380395</v>
      </c>
      <c r="H17" s="1">
        <v>11</v>
      </c>
      <c r="I17" s="3">
        <v>26406068</v>
      </c>
      <c r="J17" s="7">
        <v>25</v>
      </c>
    </row>
    <row r="18" spans="1:10" x14ac:dyDescent="0.3">
      <c r="A18" s="1">
        <v>16</v>
      </c>
      <c r="B18" s="1">
        <v>17</v>
      </c>
      <c r="C18" s="1" t="s">
        <v>294</v>
      </c>
      <c r="D18" s="1" t="s">
        <v>283</v>
      </c>
      <c r="E18" s="5">
        <v>5568543</v>
      </c>
      <c r="F18" s="7">
        <v>1.3</v>
      </c>
      <c r="G18" s="16">
        <v>83528143</v>
      </c>
      <c r="H18" s="1">
        <v>72</v>
      </c>
      <c r="I18" s="3">
        <v>23380396</v>
      </c>
      <c r="J18" s="7">
        <v>54</v>
      </c>
    </row>
    <row r="19" spans="1:10" x14ac:dyDescent="0.3">
      <c r="A19" s="1">
        <v>17</v>
      </c>
      <c r="B19" s="1">
        <v>23</v>
      </c>
      <c r="C19" s="1" t="s">
        <v>295</v>
      </c>
      <c r="D19" s="1" t="s">
        <v>277</v>
      </c>
      <c r="E19" s="5">
        <v>5490339</v>
      </c>
      <c r="F19" s="7">
        <v>9.6</v>
      </c>
      <c r="G19" s="16">
        <v>148239158</v>
      </c>
      <c r="H19" s="1">
        <v>14</v>
      </c>
      <c r="I19" s="3">
        <v>21697572</v>
      </c>
      <c r="J19" s="7">
        <v>89</v>
      </c>
    </row>
    <row r="20" spans="1:10" x14ac:dyDescent="0.3">
      <c r="A20" s="1">
        <v>18</v>
      </c>
      <c r="B20" s="1">
        <v>35</v>
      </c>
      <c r="C20" s="1" t="s">
        <v>296</v>
      </c>
      <c r="D20" s="1" t="s">
        <v>297</v>
      </c>
      <c r="E20" s="5">
        <v>5336821</v>
      </c>
      <c r="F20" s="7">
        <v>16.2</v>
      </c>
      <c r="G20" s="16">
        <v>149431000</v>
      </c>
      <c r="H20" s="1">
        <v>13</v>
      </c>
      <c r="I20" s="3">
        <v>20990372</v>
      </c>
      <c r="J20" s="7">
        <v>139</v>
      </c>
    </row>
    <row r="21" spans="1:10" x14ac:dyDescent="0.3">
      <c r="A21" s="1">
        <v>19</v>
      </c>
      <c r="B21" s="1">
        <v>7</v>
      </c>
      <c r="C21" s="1" t="s">
        <v>298</v>
      </c>
      <c r="D21" s="1" t="s">
        <v>283</v>
      </c>
      <c r="E21" s="5">
        <v>5182926</v>
      </c>
      <c r="F21" s="7">
        <v>-17.600000000000001</v>
      </c>
      <c r="G21" s="16">
        <v>77743891</v>
      </c>
      <c r="H21" s="1">
        <v>78</v>
      </c>
      <c r="I21" s="3">
        <v>29883100</v>
      </c>
      <c r="J21" s="7">
        <v>-7</v>
      </c>
    </row>
    <row r="22" spans="1:10" x14ac:dyDescent="0.3">
      <c r="A22" s="1">
        <v>20</v>
      </c>
      <c r="B22" s="1">
        <v>21</v>
      </c>
      <c r="C22" s="1" t="s">
        <v>299</v>
      </c>
      <c r="D22" s="1" t="s">
        <v>275</v>
      </c>
      <c r="E22" s="5">
        <v>5171351</v>
      </c>
      <c r="F22" s="7">
        <v>0.2</v>
      </c>
      <c r="G22" s="16">
        <v>129283779</v>
      </c>
      <c r="H22" s="1">
        <v>20</v>
      </c>
      <c r="I22" s="3">
        <v>24648884</v>
      </c>
      <c r="J22" s="7">
        <v>25</v>
      </c>
    </row>
    <row r="23" spans="1:10" x14ac:dyDescent="0.3">
      <c r="A23" s="1">
        <v>21</v>
      </c>
      <c r="B23" s="1">
        <v>18</v>
      </c>
      <c r="C23" s="1" t="s">
        <v>300</v>
      </c>
      <c r="D23" s="1" t="s">
        <v>283</v>
      </c>
      <c r="E23" s="5">
        <v>5087128</v>
      </c>
      <c r="F23" s="7">
        <v>-6.2</v>
      </c>
      <c r="G23" s="16">
        <v>71219789</v>
      </c>
      <c r="H23" s="1">
        <v>86</v>
      </c>
      <c r="I23" s="3">
        <v>26422812</v>
      </c>
      <c r="J23" s="7">
        <v>-5</v>
      </c>
    </row>
    <row r="24" spans="1:10" x14ac:dyDescent="0.3">
      <c r="A24" s="1">
        <v>22</v>
      </c>
      <c r="B24" s="1">
        <v>26</v>
      </c>
      <c r="C24" s="1" t="s">
        <v>301</v>
      </c>
      <c r="D24" s="1" t="s">
        <v>283</v>
      </c>
      <c r="E24" s="5">
        <v>5024550</v>
      </c>
      <c r="F24" s="7">
        <v>2.2999999999999998</v>
      </c>
      <c r="G24" s="16">
        <v>70343704</v>
      </c>
      <c r="H24" s="1">
        <v>87</v>
      </c>
      <c r="I24" s="3">
        <v>20886632</v>
      </c>
      <c r="J24" s="7">
        <v>47</v>
      </c>
    </row>
    <row r="25" spans="1:10" x14ac:dyDescent="0.3">
      <c r="A25" s="1">
        <v>23</v>
      </c>
      <c r="B25" s="1">
        <v>38</v>
      </c>
      <c r="C25" s="1" t="s">
        <v>302</v>
      </c>
      <c r="D25" s="1" t="s">
        <v>283</v>
      </c>
      <c r="E25" s="5">
        <v>4994377</v>
      </c>
      <c r="F25" s="7">
        <v>13.1</v>
      </c>
      <c r="G25" s="16">
        <v>69921277</v>
      </c>
      <c r="H25" s="1">
        <v>88</v>
      </c>
      <c r="I25" s="3">
        <v>21167692</v>
      </c>
      <c r="J25" s="7">
        <v>15</v>
      </c>
    </row>
    <row r="26" spans="1:10" x14ac:dyDescent="0.3">
      <c r="A26" s="1">
        <v>24</v>
      </c>
      <c r="B26" s="1">
        <v>33</v>
      </c>
      <c r="C26" s="1" t="s">
        <v>303</v>
      </c>
      <c r="D26" s="1" t="s">
        <v>304</v>
      </c>
      <c r="E26" s="5">
        <v>4964375</v>
      </c>
      <c r="F26" s="7">
        <v>6.5</v>
      </c>
      <c r="G26" s="16">
        <v>12220000</v>
      </c>
      <c r="H26" s="1">
        <v>218</v>
      </c>
      <c r="I26" s="3">
        <v>21698248</v>
      </c>
      <c r="J26" s="7">
        <v>26</v>
      </c>
    </row>
    <row r="27" spans="1:10" x14ac:dyDescent="0.3">
      <c r="A27" s="1">
        <v>25</v>
      </c>
      <c r="B27" s="1">
        <v>58</v>
      </c>
      <c r="C27" s="1" t="s">
        <v>305</v>
      </c>
      <c r="D27" s="1" t="s">
        <v>297</v>
      </c>
      <c r="E27" s="5">
        <v>4937720</v>
      </c>
      <c r="F27" s="7">
        <v>35.299999999999997</v>
      </c>
      <c r="G27" s="16">
        <v>123443000</v>
      </c>
      <c r="H27" s="1">
        <v>22</v>
      </c>
      <c r="I27" s="3">
        <v>17336800</v>
      </c>
      <c r="J27" s="7">
        <v>236</v>
      </c>
    </row>
    <row r="28" spans="1:10" x14ac:dyDescent="0.3">
      <c r="A28" s="1">
        <v>26</v>
      </c>
      <c r="B28" s="1">
        <v>24</v>
      </c>
      <c r="C28" s="1" t="s">
        <v>306</v>
      </c>
      <c r="D28" s="1" t="s">
        <v>283</v>
      </c>
      <c r="E28" s="5">
        <v>4929758</v>
      </c>
      <c r="F28" s="7">
        <v>-0.3</v>
      </c>
      <c r="G28" s="16">
        <v>73946375</v>
      </c>
      <c r="H28" s="1">
        <v>84</v>
      </c>
      <c r="I28" s="3">
        <v>21818264</v>
      </c>
      <c r="J28" s="7">
        <v>43</v>
      </c>
    </row>
    <row r="29" spans="1:10" x14ac:dyDescent="0.3">
      <c r="A29" s="1">
        <v>27</v>
      </c>
      <c r="B29" s="1">
        <v>6</v>
      </c>
      <c r="C29" s="1" t="s">
        <v>307</v>
      </c>
      <c r="D29" s="1" t="s">
        <v>297</v>
      </c>
      <c r="E29" s="5">
        <v>4872750</v>
      </c>
      <c r="F29" s="7">
        <v>-26</v>
      </c>
      <c r="G29" s="16">
        <v>155928000</v>
      </c>
      <c r="H29" s="1">
        <v>10</v>
      </c>
      <c r="I29" s="3">
        <v>26529984</v>
      </c>
      <c r="J29" s="7">
        <v>47</v>
      </c>
    </row>
    <row r="30" spans="1:10" x14ac:dyDescent="0.3">
      <c r="A30" s="1">
        <v>28</v>
      </c>
      <c r="B30" s="1">
        <v>30</v>
      </c>
      <c r="C30" s="1" t="s">
        <v>308</v>
      </c>
      <c r="D30" s="1" t="s">
        <v>283</v>
      </c>
      <c r="E30" s="5">
        <v>4803879</v>
      </c>
      <c r="F30" s="7">
        <v>1.3</v>
      </c>
      <c r="G30" s="16">
        <v>67254306</v>
      </c>
      <c r="H30" s="1">
        <v>98</v>
      </c>
      <c r="I30" s="3">
        <v>21512296</v>
      </c>
      <c r="J30" s="7">
        <v>37</v>
      </c>
    </row>
    <row r="31" spans="1:10" x14ac:dyDescent="0.3">
      <c r="A31" s="1">
        <v>29</v>
      </c>
      <c r="B31" s="1">
        <v>41</v>
      </c>
      <c r="C31" s="1" t="s">
        <v>309</v>
      </c>
      <c r="D31" s="1" t="s">
        <v>277</v>
      </c>
      <c r="E31" s="5">
        <v>4798812</v>
      </c>
      <c r="F31" s="7">
        <v>9.4</v>
      </c>
      <c r="G31" s="16">
        <v>134366735</v>
      </c>
      <c r="H31" s="1">
        <v>16</v>
      </c>
      <c r="I31" s="3">
        <v>15697292</v>
      </c>
      <c r="J31" s="7">
        <v>185</v>
      </c>
    </row>
    <row r="32" spans="1:10" x14ac:dyDescent="0.3">
      <c r="A32" s="1">
        <v>30</v>
      </c>
      <c r="B32" s="1">
        <v>55</v>
      </c>
      <c r="C32" s="1" t="s">
        <v>310</v>
      </c>
      <c r="D32" s="1" t="s">
        <v>277</v>
      </c>
      <c r="E32" s="5">
        <v>4793619</v>
      </c>
      <c r="F32" s="7">
        <v>26.4</v>
      </c>
      <c r="G32" s="16">
        <v>129427700</v>
      </c>
      <c r="H32" s="1">
        <v>19</v>
      </c>
      <c r="I32" s="3">
        <v>15125188</v>
      </c>
      <c r="J32" s="7">
        <v>163</v>
      </c>
    </row>
    <row r="33" spans="1:10" x14ac:dyDescent="0.3">
      <c r="A33" s="1">
        <v>31</v>
      </c>
      <c r="B33" s="1">
        <v>10</v>
      </c>
      <c r="C33" s="1" t="s">
        <v>311</v>
      </c>
      <c r="D33" s="1" t="s">
        <v>297</v>
      </c>
      <c r="E33" s="5">
        <v>4640714</v>
      </c>
      <c r="F33" s="7">
        <v>-25.1</v>
      </c>
      <c r="G33" s="16">
        <v>129940000</v>
      </c>
      <c r="H33" s="1">
        <v>18</v>
      </c>
      <c r="I33" s="3">
        <v>25662988</v>
      </c>
      <c r="J33" s="7">
        <v>49</v>
      </c>
    </row>
    <row r="34" spans="1:10" x14ac:dyDescent="0.3">
      <c r="A34" s="1">
        <v>32</v>
      </c>
      <c r="B34" s="1">
        <v>66</v>
      </c>
      <c r="C34" s="1" t="s">
        <v>312</v>
      </c>
      <c r="D34" s="1" t="s">
        <v>283</v>
      </c>
      <c r="E34" s="5">
        <v>4605265</v>
      </c>
      <c r="F34" s="7">
        <v>39.4</v>
      </c>
      <c r="G34" s="16">
        <v>64473705</v>
      </c>
      <c r="H34" s="1">
        <v>106</v>
      </c>
      <c r="I34" s="3">
        <v>20708116</v>
      </c>
      <c r="J34" s="7">
        <v>3</v>
      </c>
    </row>
    <row r="35" spans="1:10" x14ac:dyDescent="0.3">
      <c r="A35" s="1">
        <v>33</v>
      </c>
      <c r="B35" s="1">
        <v>13</v>
      </c>
      <c r="C35" s="1" t="s">
        <v>313</v>
      </c>
      <c r="D35" s="1" t="s">
        <v>283</v>
      </c>
      <c r="E35" s="5">
        <v>4581088</v>
      </c>
      <c r="F35" s="7">
        <v>-19.899999999999999</v>
      </c>
      <c r="G35" s="16">
        <v>68716326</v>
      </c>
      <c r="H35" s="1">
        <v>90</v>
      </c>
      <c r="I35" s="3">
        <v>22709544</v>
      </c>
      <c r="J35" s="7">
        <v>57</v>
      </c>
    </row>
    <row r="36" spans="1:10" x14ac:dyDescent="0.3">
      <c r="A36" s="1">
        <v>34</v>
      </c>
      <c r="B36" s="1">
        <v>54</v>
      </c>
      <c r="C36" s="1" t="s">
        <v>314</v>
      </c>
      <c r="D36" s="1" t="s">
        <v>283</v>
      </c>
      <c r="E36" s="5">
        <v>4512792</v>
      </c>
      <c r="F36" s="7">
        <v>18.100000000000001</v>
      </c>
      <c r="G36" s="16">
        <v>67691881</v>
      </c>
      <c r="H36" s="1">
        <v>94</v>
      </c>
      <c r="I36" s="3">
        <v>18810272</v>
      </c>
      <c r="J36" s="7">
        <v>12</v>
      </c>
    </row>
    <row r="37" spans="1:10" x14ac:dyDescent="0.3">
      <c r="A37" s="1">
        <v>35</v>
      </c>
      <c r="B37" s="1">
        <v>42</v>
      </c>
      <c r="C37" s="1" t="s">
        <v>315</v>
      </c>
      <c r="D37" s="1" t="s">
        <v>283</v>
      </c>
      <c r="E37" s="5">
        <v>4488293</v>
      </c>
      <c r="F37" s="7">
        <v>5.2</v>
      </c>
      <c r="G37" s="16">
        <v>67324401</v>
      </c>
      <c r="H37" s="1">
        <v>96</v>
      </c>
      <c r="I37" s="3">
        <v>23446072</v>
      </c>
      <c r="J37" s="7">
        <v>-3</v>
      </c>
    </row>
    <row r="38" spans="1:10" x14ac:dyDescent="0.3">
      <c r="A38" s="1">
        <v>36</v>
      </c>
      <c r="B38" s="1">
        <v>43</v>
      </c>
      <c r="C38" s="1" t="s">
        <v>316</v>
      </c>
      <c r="D38" s="1" t="s">
        <v>283</v>
      </c>
      <c r="E38" s="5">
        <v>4485331</v>
      </c>
      <c r="F38" s="7">
        <v>7</v>
      </c>
      <c r="G38" s="16">
        <v>67279965</v>
      </c>
      <c r="H38" s="1">
        <v>97</v>
      </c>
      <c r="I38" s="3">
        <v>24320660</v>
      </c>
      <c r="J38" s="7">
        <v>-23</v>
      </c>
    </row>
    <row r="39" spans="1:10" x14ac:dyDescent="0.3">
      <c r="A39" s="1">
        <v>37</v>
      </c>
      <c r="B39" s="1">
        <v>45</v>
      </c>
      <c r="C39" s="1" t="s">
        <v>317</v>
      </c>
      <c r="D39" s="1" t="s">
        <v>283</v>
      </c>
      <c r="E39" s="5">
        <v>4437526</v>
      </c>
      <c r="F39" s="7">
        <v>7.3</v>
      </c>
      <c r="G39" s="16">
        <v>62125365</v>
      </c>
      <c r="H39" s="1">
        <v>120</v>
      </c>
      <c r="I39" s="3">
        <v>18964192</v>
      </c>
      <c r="J39" s="7">
        <v>12</v>
      </c>
    </row>
    <row r="40" spans="1:10" x14ac:dyDescent="0.3">
      <c r="A40" s="1">
        <v>38</v>
      </c>
      <c r="B40" s="1">
        <v>31</v>
      </c>
      <c r="C40" s="1" t="s">
        <v>318</v>
      </c>
      <c r="D40" s="1" t="s">
        <v>277</v>
      </c>
      <c r="E40" s="5">
        <v>4415397</v>
      </c>
      <c r="F40" s="7">
        <v>-6.8</v>
      </c>
      <c r="G40" s="16">
        <v>128046500</v>
      </c>
      <c r="H40" s="1">
        <v>21</v>
      </c>
      <c r="I40" s="3">
        <v>23172448</v>
      </c>
      <c r="J40" s="7">
        <v>5</v>
      </c>
    </row>
    <row r="41" spans="1:10" x14ac:dyDescent="0.3">
      <c r="A41" s="1">
        <v>39</v>
      </c>
      <c r="B41" s="1">
        <v>32</v>
      </c>
      <c r="C41" s="1" t="s">
        <v>319</v>
      </c>
      <c r="D41" s="1" t="s">
        <v>304</v>
      </c>
      <c r="E41" s="5">
        <v>4390750</v>
      </c>
      <c r="F41" s="7">
        <v>-7.1</v>
      </c>
      <c r="G41" s="16">
        <v>10808000</v>
      </c>
      <c r="H41" s="1">
        <v>222</v>
      </c>
      <c r="I41" s="3">
        <v>22543976</v>
      </c>
      <c r="J41" s="7">
        <v>-9</v>
      </c>
    </row>
    <row r="42" spans="1:10" x14ac:dyDescent="0.3">
      <c r="A42" s="1">
        <v>40</v>
      </c>
      <c r="B42" s="1">
        <v>28</v>
      </c>
      <c r="C42" s="1" t="s">
        <v>320</v>
      </c>
      <c r="D42" s="1" t="s">
        <v>304</v>
      </c>
      <c r="E42" s="5">
        <v>4387500</v>
      </c>
      <c r="F42" s="7">
        <v>-9.4</v>
      </c>
      <c r="G42" s="16">
        <v>11475000</v>
      </c>
      <c r="H42" s="1">
        <v>221</v>
      </c>
      <c r="I42" s="3">
        <v>22398168</v>
      </c>
      <c r="J42" s="7">
        <v>-11</v>
      </c>
    </row>
    <row r="43" spans="1:10" x14ac:dyDescent="0.3">
      <c r="A43" s="1">
        <v>41</v>
      </c>
      <c r="B43" s="1">
        <v>29</v>
      </c>
      <c r="C43" s="1" t="s">
        <v>321</v>
      </c>
      <c r="D43" s="1" t="s">
        <v>304</v>
      </c>
      <c r="E43" s="5">
        <v>4296094</v>
      </c>
      <c r="F43" s="7">
        <v>-11.2</v>
      </c>
      <c r="G43" s="16">
        <v>10575000</v>
      </c>
      <c r="H43" s="1">
        <v>225</v>
      </c>
      <c r="I43" s="3">
        <v>20270952</v>
      </c>
      <c r="J43" s="7">
        <v>4</v>
      </c>
    </row>
    <row r="44" spans="1:10" x14ac:dyDescent="0.3">
      <c r="A44" s="1">
        <v>42</v>
      </c>
      <c r="B44" s="1">
        <v>25</v>
      </c>
      <c r="C44" s="1" t="s">
        <v>322</v>
      </c>
      <c r="D44" s="1" t="s">
        <v>283</v>
      </c>
      <c r="E44" s="5">
        <v>4291217</v>
      </c>
      <c r="F44" s="7">
        <v>-13.1</v>
      </c>
      <c r="G44" s="16">
        <v>64368261</v>
      </c>
      <c r="H44" s="1">
        <v>107</v>
      </c>
      <c r="I44" s="3">
        <v>21936512</v>
      </c>
      <c r="J44" s="7">
        <v>32</v>
      </c>
    </row>
    <row r="45" spans="1:10" x14ac:dyDescent="0.3">
      <c r="A45" s="1">
        <v>43</v>
      </c>
      <c r="B45" s="1">
        <v>50</v>
      </c>
      <c r="C45" s="1" t="s">
        <v>323</v>
      </c>
      <c r="D45" s="1" t="s">
        <v>283</v>
      </c>
      <c r="E45" s="5">
        <v>4267204</v>
      </c>
      <c r="F45" s="7">
        <v>5.0999999999999996</v>
      </c>
      <c r="G45" s="16">
        <v>64008065</v>
      </c>
      <c r="H45" s="1">
        <v>110</v>
      </c>
      <c r="I45" s="3">
        <v>20217132</v>
      </c>
      <c r="J45" s="7">
        <v>-3</v>
      </c>
    </row>
    <row r="46" spans="1:10" x14ac:dyDescent="0.3">
      <c r="A46" s="1">
        <v>44</v>
      </c>
      <c r="B46" s="1">
        <v>48</v>
      </c>
      <c r="C46" s="1" t="s">
        <v>324</v>
      </c>
      <c r="D46" s="1" t="s">
        <v>304</v>
      </c>
      <c r="E46" s="5">
        <v>4217772</v>
      </c>
      <c r="F46" s="7">
        <v>2.5</v>
      </c>
      <c r="G46" s="16">
        <v>11680000</v>
      </c>
      <c r="H46" s="1">
        <v>220</v>
      </c>
      <c r="I46" s="3">
        <v>20206524</v>
      </c>
      <c r="J46" s="7">
        <v>-11</v>
      </c>
    </row>
    <row r="47" spans="1:10" x14ac:dyDescent="0.3">
      <c r="A47" s="1">
        <v>45</v>
      </c>
      <c r="B47" s="1">
        <v>40</v>
      </c>
      <c r="C47" s="1" t="s">
        <v>325</v>
      </c>
      <c r="D47" s="1" t="s">
        <v>283</v>
      </c>
      <c r="E47" s="5">
        <v>4179418</v>
      </c>
      <c r="F47" s="7">
        <v>-5</v>
      </c>
      <c r="G47" s="16">
        <v>62691270</v>
      </c>
      <c r="H47" s="1">
        <v>115</v>
      </c>
      <c r="I47" s="3">
        <v>20714200</v>
      </c>
      <c r="J47" s="7">
        <v>-8</v>
      </c>
    </row>
    <row r="48" spans="1:10" x14ac:dyDescent="0.3">
      <c r="A48" s="1">
        <v>46</v>
      </c>
      <c r="B48" s="1">
        <v>60</v>
      </c>
      <c r="C48" s="1" t="s">
        <v>326</v>
      </c>
      <c r="D48" s="1" t="s">
        <v>283</v>
      </c>
      <c r="E48" s="5">
        <v>4173291</v>
      </c>
      <c r="F48" s="7">
        <v>17.100000000000001</v>
      </c>
      <c r="G48" s="16">
        <v>62599372</v>
      </c>
      <c r="H48" s="1">
        <v>116</v>
      </c>
      <c r="I48" s="3">
        <v>21026460</v>
      </c>
      <c r="J48" s="7">
        <v>-10</v>
      </c>
    </row>
    <row r="49" spans="1:10" x14ac:dyDescent="0.3">
      <c r="A49" s="1">
        <v>47</v>
      </c>
      <c r="B49" s="1">
        <v>56</v>
      </c>
      <c r="C49" s="1" t="s">
        <v>327</v>
      </c>
      <c r="D49" s="1" t="s">
        <v>285</v>
      </c>
      <c r="E49" s="5">
        <v>4158080</v>
      </c>
      <c r="F49" s="7">
        <v>14.2</v>
      </c>
      <c r="G49" s="16">
        <v>103952000</v>
      </c>
      <c r="H49" s="1">
        <v>45</v>
      </c>
      <c r="I49" s="18">
        <v>0</v>
      </c>
      <c r="J49" s="7">
        <v>0</v>
      </c>
    </row>
    <row r="50" spans="1:10" x14ac:dyDescent="0.3">
      <c r="A50" s="1">
        <v>48</v>
      </c>
      <c r="B50" s="1">
        <v>49</v>
      </c>
      <c r="C50" s="1" t="s">
        <v>328</v>
      </c>
      <c r="D50" s="1" t="s">
        <v>277</v>
      </c>
      <c r="E50" s="5">
        <v>4140362</v>
      </c>
      <c r="F50" s="7">
        <v>1.6</v>
      </c>
      <c r="G50" s="16">
        <v>132491596</v>
      </c>
      <c r="H50" s="1">
        <v>17</v>
      </c>
      <c r="I50" s="3">
        <v>18435248</v>
      </c>
      <c r="J50" s="7">
        <v>72</v>
      </c>
    </row>
    <row r="51" spans="1:10" x14ac:dyDescent="0.3">
      <c r="A51" s="1">
        <v>49</v>
      </c>
      <c r="B51" s="1">
        <v>36</v>
      </c>
      <c r="C51" s="1" t="s">
        <v>329</v>
      </c>
      <c r="D51" s="1" t="s">
        <v>283</v>
      </c>
      <c r="E51" s="5">
        <v>4126684</v>
      </c>
      <c r="F51" s="7">
        <v>-8.3000000000000007</v>
      </c>
      <c r="G51" s="16">
        <v>61900253</v>
      </c>
      <c r="H51" s="1">
        <v>122</v>
      </c>
      <c r="I51" s="3">
        <v>22668620</v>
      </c>
      <c r="J51" s="7">
        <v>-25</v>
      </c>
    </row>
    <row r="52" spans="1:10" x14ac:dyDescent="0.3">
      <c r="A52" s="1">
        <v>50</v>
      </c>
      <c r="B52" s="1">
        <v>81</v>
      </c>
      <c r="C52" s="1" t="s">
        <v>330</v>
      </c>
      <c r="D52" s="1" t="s">
        <v>283</v>
      </c>
      <c r="E52" s="5">
        <v>4125552</v>
      </c>
      <c r="F52" s="7">
        <v>50.8</v>
      </c>
      <c r="G52" s="16">
        <v>61883276</v>
      </c>
      <c r="H52" s="1">
        <v>123</v>
      </c>
      <c r="I52" s="3">
        <v>19751680</v>
      </c>
      <c r="J52" s="7">
        <v>0</v>
      </c>
    </row>
    <row r="53" spans="1:10" x14ac:dyDescent="0.3">
      <c r="A53" s="1">
        <v>51</v>
      </c>
      <c r="B53" s="1">
        <v>61</v>
      </c>
      <c r="C53" s="1" t="s">
        <v>331</v>
      </c>
      <c r="D53" s="1" t="s">
        <v>285</v>
      </c>
      <c r="E53" s="5">
        <v>4074918</v>
      </c>
      <c r="F53" s="7">
        <v>15</v>
      </c>
      <c r="G53" s="16">
        <v>101872960</v>
      </c>
      <c r="H53" s="1">
        <v>52</v>
      </c>
      <c r="I53" s="3">
        <v>0</v>
      </c>
      <c r="J53" s="7">
        <v>0</v>
      </c>
    </row>
    <row r="54" spans="1:10" x14ac:dyDescent="0.3">
      <c r="A54" s="1">
        <v>52</v>
      </c>
      <c r="B54" s="1">
        <v>65</v>
      </c>
      <c r="C54" s="1" t="s">
        <v>332</v>
      </c>
      <c r="D54" s="1" t="s">
        <v>283</v>
      </c>
      <c r="E54" s="5">
        <v>4072630</v>
      </c>
      <c r="F54" s="7">
        <v>22.1</v>
      </c>
      <c r="G54" s="16">
        <v>61089456</v>
      </c>
      <c r="H54" s="1">
        <v>124</v>
      </c>
      <c r="I54" s="3">
        <v>19654596</v>
      </c>
      <c r="J54" s="7">
        <v>-25</v>
      </c>
    </row>
    <row r="55" spans="1:10" x14ac:dyDescent="0.3">
      <c r="A55" s="1">
        <v>53</v>
      </c>
      <c r="B55" s="1">
        <v>47</v>
      </c>
      <c r="C55" s="1" t="s">
        <v>333</v>
      </c>
      <c r="D55" s="1" t="s">
        <v>283</v>
      </c>
      <c r="E55" s="5">
        <v>4054756</v>
      </c>
      <c r="F55" s="7">
        <v>-1.9</v>
      </c>
      <c r="G55" s="16">
        <v>60821336</v>
      </c>
      <c r="H55" s="1">
        <v>126</v>
      </c>
      <c r="I55" s="3">
        <v>19799676</v>
      </c>
      <c r="J55" s="7">
        <v>21</v>
      </c>
    </row>
    <row r="56" spans="1:10" x14ac:dyDescent="0.3">
      <c r="A56" s="1">
        <v>54</v>
      </c>
      <c r="B56" s="1">
        <v>51</v>
      </c>
      <c r="C56" s="1" t="s">
        <v>334</v>
      </c>
      <c r="D56" s="1" t="s">
        <v>275</v>
      </c>
      <c r="E56" s="5">
        <v>4037692</v>
      </c>
      <c r="F56" s="7">
        <v>-0.1</v>
      </c>
      <c r="G56" s="16">
        <v>100942292</v>
      </c>
      <c r="H56" s="1">
        <v>53</v>
      </c>
      <c r="I56" s="3">
        <v>16327740</v>
      </c>
      <c r="J56" s="7">
        <v>95</v>
      </c>
    </row>
    <row r="57" spans="1:10" x14ac:dyDescent="0.3">
      <c r="A57" s="1">
        <v>55</v>
      </c>
      <c r="B57" s="1">
        <v>57</v>
      </c>
      <c r="C57" s="1" t="s">
        <v>335</v>
      </c>
      <c r="D57" s="1" t="s">
        <v>304</v>
      </c>
      <c r="E57" s="5">
        <v>3877656</v>
      </c>
      <c r="F57" s="7">
        <v>6.6</v>
      </c>
      <c r="G57" s="16">
        <v>9545000</v>
      </c>
      <c r="H57" s="1">
        <v>229</v>
      </c>
      <c r="I57" s="3">
        <v>0</v>
      </c>
      <c r="J57" s="7">
        <v>0</v>
      </c>
    </row>
    <row r="58" spans="1:10" x14ac:dyDescent="0.3">
      <c r="A58" s="1">
        <v>56</v>
      </c>
      <c r="B58" s="1">
        <v>53</v>
      </c>
      <c r="C58" s="1" t="s">
        <v>336</v>
      </c>
      <c r="D58" s="1" t="s">
        <v>277</v>
      </c>
      <c r="E58" s="5">
        <v>3857870</v>
      </c>
      <c r="F58" s="7">
        <v>-2.9</v>
      </c>
      <c r="G58" s="16">
        <v>108020360</v>
      </c>
      <c r="H58" s="1">
        <v>40</v>
      </c>
      <c r="I58" s="3">
        <v>20092228</v>
      </c>
      <c r="J58" s="7">
        <v>-13</v>
      </c>
    </row>
    <row r="59" spans="1:10" x14ac:dyDescent="0.3">
      <c r="A59" s="1">
        <v>57</v>
      </c>
      <c r="B59" s="1">
        <v>34</v>
      </c>
      <c r="C59" s="1" t="s">
        <v>337</v>
      </c>
      <c r="D59" s="1" t="s">
        <v>283</v>
      </c>
      <c r="E59" s="5">
        <v>3807731</v>
      </c>
      <c r="F59" s="7">
        <v>-17.5</v>
      </c>
      <c r="G59" s="16">
        <v>57115966</v>
      </c>
      <c r="H59" s="1">
        <v>139</v>
      </c>
      <c r="I59" s="3">
        <v>22474920</v>
      </c>
      <c r="J59" s="7">
        <v>-16</v>
      </c>
    </row>
    <row r="60" spans="1:10" x14ac:dyDescent="0.3">
      <c r="A60" s="1">
        <v>58</v>
      </c>
      <c r="B60" s="1">
        <v>79</v>
      </c>
      <c r="C60" s="1" t="s">
        <v>338</v>
      </c>
      <c r="D60" s="1" t="s">
        <v>277</v>
      </c>
      <c r="E60" s="5">
        <v>3804605</v>
      </c>
      <c r="F60" s="7">
        <v>37.6</v>
      </c>
      <c r="G60" s="16">
        <v>102724338</v>
      </c>
      <c r="H60" s="1">
        <v>48</v>
      </c>
      <c r="I60" s="3">
        <v>16113760</v>
      </c>
      <c r="J60" s="7">
        <v>30</v>
      </c>
    </row>
    <row r="61" spans="1:10" x14ac:dyDescent="0.3">
      <c r="A61" s="1">
        <v>59</v>
      </c>
      <c r="B61" s="1">
        <v>44</v>
      </c>
      <c r="C61" s="1" t="s">
        <v>339</v>
      </c>
      <c r="D61" s="1" t="s">
        <v>283</v>
      </c>
      <c r="E61" s="5">
        <v>3788245</v>
      </c>
      <c r="F61" s="7">
        <v>-9.1999999999999993</v>
      </c>
      <c r="G61" s="16">
        <v>56823668</v>
      </c>
      <c r="H61" s="1">
        <v>140</v>
      </c>
      <c r="I61" s="3">
        <v>20483424</v>
      </c>
      <c r="J61" s="7">
        <v>-3</v>
      </c>
    </row>
    <row r="62" spans="1:10" x14ac:dyDescent="0.3">
      <c r="A62" s="1">
        <v>60</v>
      </c>
      <c r="B62" s="1">
        <v>37</v>
      </c>
      <c r="C62" s="1" t="s">
        <v>340</v>
      </c>
      <c r="D62" s="1" t="s">
        <v>283</v>
      </c>
      <c r="E62" s="5">
        <v>3772348</v>
      </c>
      <c r="F62" s="7">
        <v>-15.3</v>
      </c>
      <c r="G62" s="16">
        <v>56585215</v>
      </c>
      <c r="H62" s="1">
        <v>141</v>
      </c>
      <c r="I62" s="3">
        <v>22630712</v>
      </c>
      <c r="J62" s="7">
        <v>-15</v>
      </c>
    </row>
    <row r="63" spans="1:10" x14ac:dyDescent="0.3">
      <c r="A63" s="1">
        <v>61</v>
      </c>
      <c r="B63" s="1">
        <v>71</v>
      </c>
      <c r="C63" s="1" t="s">
        <v>341</v>
      </c>
      <c r="D63" s="1" t="s">
        <v>277</v>
      </c>
      <c r="E63" s="5">
        <v>3726628</v>
      </c>
      <c r="F63" s="7">
        <v>25.5</v>
      </c>
      <c r="G63" s="16">
        <v>111798833</v>
      </c>
      <c r="H63" s="1">
        <v>33</v>
      </c>
      <c r="I63" s="3">
        <v>13505232</v>
      </c>
      <c r="J63" s="7">
        <v>72</v>
      </c>
    </row>
    <row r="64" spans="1:10" x14ac:dyDescent="0.3">
      <c r="A64" s="1">
        <v>62</v>
      </c>
      <c r="B64" s="1">
        <v>78</v>
      </c>
      <c r="C64" s="1" t="s">
        <v>342</v>
      </c>
      <c r="D64" s="1" t="s">
        <v>277</v>
      </c>
      <c r="E64" s="5">
        <v>3688114</v>
      </c>
      <c r="F64" s="7">
        <v>33.299999999999997</v>
      </c>
      <c r="G64" s="16">
        <v>99579071</v>
      </c>
      <c r="H64" s="1">
        <v>54</v>
      </c>
      <c r="I64" s="3">
        <v>15463448</v>
      </c>
      <c r="J64" s="7">
        <v>26</v>
      </c>
    </row>
    <row r="65" spans="1:10" x14ac:dyDescent="0.3">
      <c r="A65" s="1">
        <v>63</v>
      </c>
      <c r="B65" s="1">
        <v>52</v>
      </c>
      <c r="C65" s="1" t="s">
        <v>343</v>
      </c>
      <c r="D65" s="1" t="s">
        <v>283</v>
      </c>
      <c r="E65" s="5">
        <v>3525842</v>
      </c>
      <c r="F65" s="7">
        <v>-11.6</v>
      </c>
      <c r="G65" s="16">
        <v>52887627</v>
      </c>
      <c r="H65" s="1">
        <v>149</v>
      </c>
      <c r="I65" s="3">
        <v>23079108</v>
      </c>
      <c r="J65" s="7">
        <v>-24</v>
      </c>
    </row>
    <row r="66" spans="1:10" x14ac:dyDescent="0.3">
      <c r="A66" s="1">
        <v>64</v>
      </c>
      <c r="B66" s="1">
        <v>62</v>
      </c>
      <c r="C66" s="1" t="s">
        <v>344</v>
      </c>
      <c r="D66" s="1" t="s">
        <v>283</v>
      </c>
      <c r="E66" s="5">
        <v>3435551</v>
      </c>
      <c r="F66" s="7">
        <v>1.5</v>
      </c>
      <c r="G66" s="16">
        <v>48097710</v>
      </c>
      <c r="H66" s="1">
        <v>157</v>
      </c>
      <c r="I66" s="3">
        <v>20251556</v>
      </c>
      <c r="J66" s="7">
        <v>-32</v>
      </c>
    </row>
    <row r="67" spans="1:10" x14ac:dyDescent="0.3">
      <c r="A67" s="1">
        <v>65</v>
      </c>
      <c r="B67" s="1">
        <v>46</v>
      </c>
      <c r="C67" s="1" t="s">
        <v>345</v>
      </c>
      <c r="D67" s="1" t="s">
        <v>277</v>
      </c>
      <c r="E67" s="5">
        <v>3405417</v>
      </c>
      <c r="F67" s="7">
        <v>-17.600000000000001</v>
      </c>
      <c r="G67" s="16">
        <v>112378771</v>
      </c>
      <c r="H67" s="1">
        <v>32</v>
      </c>
      <c r="I67" s="3">
        <v>15160184</v>
      </c>
      <c r="J67" s="7">
        <v>58</v>
      </c>
    </row>
    <row r="68" spans="1:10" x14ac:dyDescent="0.3">
      <c r="A68" s="1">
        <v>66</v>
      </c>
      <c r="B68" s="1">
        <v>82</v>
      </c>
      <c r="C68" s="1" t="s">
        <v>346</v>
      </c>
      <c r="D68" s="1" t="s">
        <v>277</v>
      </c>
      <c r="E68" s="5">
        <v>3396500</v>
      </c>
      <c r="F68" s="7">
        <v>25.5</v>
      </c>
      <c r="G68" s="16">
        <v>84912500</v>
      </c>
      <c r="H68" s="1">
        <v>69</v>
      </c>
      <c r="I68" s="3">
        <v>16762720</v>
      </c>
      <c r="J68" s="7">
        <v>27</v>
      </c>
    </row>
    <row r="69" spans="1:10" x14ac:dyDescent="0.3">
      <c r="A69" s="1">
        <v>67</v>
      </c>
      <c r="B69" s="1">
        <v>67</v>
      </c>
      <c r="C69" s="1" t="s">
        <v>347</v>
      </c>
      <c r="D69" s="1" t="s">
        <v>277</v>
      </c>
      <c r="E69" s="5">
        <v>3389810</v>
      </c>
      <c r="F69" s="7">
        <v>8</v>
      </c>
      <c r="G69" s="16">
        <v>105084121</v>
      </c>
      <c r="H69" s="1">
        <v>44</v>
      </c>
      <c r="I69" s="3">
        <v>14300520</v>
      </c>
      <c r="J69" s="7">
        <v>101</v>
      </c>
    </row>
    <row r="70" spans="1:10" x14ac:dyDescent="0.3">
      <c r="A70" s="1">
        <v>68</v>
      </c>
      <c r="B70" s="1">
        <v>69</v>
      </c>
      <c r="C70" s="1" t="s">
        <v>348</v>
      </c>
      <c r="D70" s="1" t="s">
        <v>277</v>
      </c>
      <c r="E70" s="5">
        <v>3351167</v>
      </c>
      <c r="F70" s="7">
        <v>11</v>
      </c>
      <c r="G70" s="16">
        <v>90481500</v>
      </c>
      <c r="H70" s="1">
        <v>62</v>
      </c>
      <c r="I70" s="3">
        <v>12359256</v>
      </c>
      <c r="J70" s="7">
        <v>28</v>
      </c>
    </row>
    <row r="71" spans="1:10" x14ac:dyDescent="0.3">
      <c r="A71" s="1">
        <v>69</v>
      </c>
      <c r="B71" s="1">
        <v>39</v>
      </c>
      <c r="C71" s="1" t="s">
        <v>349</v>
      </c>
      <c r="D71" s="1" t="s">
        <v>277</v>
      </c>
      <c r="E71" s="5">
        <v>3316740</v>
      </c>
      <c r="F71" s="7">
        <v>-24.8</v>
      </c>
      <c r="G71" s="16">
        <v>89551982</v>
      </c>
      <c r="H71" s="1">
        <v>65</v>
      </c>
      <c r="I71" s="3">
        <v>19794944</v>
      </c>
      <c r="J71" s="7">
        <v>-4</v>
      </c>
    </row>
    <row r="72" spans="1:10" x14ac:dyDescent="0.3">
      <c r="A72" s="1">
        <v>70</v>
      </c>
      <c r="B72" s="1">
        <v>91</v>
      </c>
      <c r="C72" s="1" t="s">
        <v>350</v>
      </c>
      <c r="D72" s="1" t="s">
        <v>275</v>
      </c>
      <c r="E72" s="5">
        <v>3255259</v>
      </c>
      <c r="F72" s="7">
        <v>25</v>
      </c>
      <c r="G72" s="16">
        <v>81381487</v>
      </c>
      <c r="H72" s="1">
        <v>75</v>
      </c>
      <c r="I72" s="3">
        <v>0</v>
      </c>
      <c r="J72" s="7">
        <v>0</v>
      </c>
    </row>
    <row r="73" spans="1:10" x14ac:dyDescent="0.3">
      <c r="A73" s="1">
        <v>71</v>
      </c>
      <c r="B73" s="1">
        <v>68</v>
      </c>
      <c r="C73" s="1" t="s">
        <v>351</v>
      </c>
      <c r="D73" s="1" t="s">
        <v>277</v>
      </c>
      <c r="E73" s="5">
        <v>3156635</v>
      </c>
      <c r="F73" s="7">
        <v>2</v>
      </c>
      <c r="G73" s="16">
        <v>97855673</v>
      </c>
      <c r="H73" s="1">
        <v>56</v>
      </c>
      <c r="I73" s="3">
        <v>16055936</v>
      </c>
      <c r="J73" s="7">
        <v>-14</v>
      </c>
    </row>
    <row r="74" spans="1:10" x14ac:dyDescent="0.3">
      <c r="A74" s="1">
        <v>72</v>
      </c>
      <c r="B74" s="1">
        <v>95</v>
      </c>
      <c r="C74" s="1" t="s">
        <v>352</v>
      </c>
      <c r="D74" s="1" t="s">
        <v>277</v>
      </c>
      <c r="E74" s="5">
        <v>3121519</v>
      </c>
      <c r="F74" s="7">
        <v>23.3</v>
      </c>
      <c r="G74" s="16">
        <v>84281011</v>
      </c>
      <c r="H74" s="1">
        <v>70</v>
      </c>
      <c r="I74" s="3">
        <v>17276324</v>
      </c>
      <c r="J74" s="7">
        <v>-17</v>
      </c>
    </row>
    <row r="75" spans="1:10" x14ac:dyDescent="0.3">
      <c r="A75" s="1">
        <v>73</v>
      </c>
      <c r="B75" s="1">
        <v>77</v>
      </c>
      <c r="C75" s="1" t="s">
        <v>353</v>
      </c>
      <c r="D75" s="1" t="s">
        <v>277</v>
      </c>
      <c r="E75" s="5">
        <v>3087574</v>
      </c>
      <c r="F75" s="7">
        <v>11.4</v>
      </c>
      <c r="G75" s="16">
        <v>89539642</v>
      </c>
      <c r="H75" s="1">
        <v>66</v>
      </c>
      <c r="I75" s="3">
        <v>15047656</v>
      </c>
      <c r="J75" s="7">
        <v>-9</v>
      </c>
    </row>
    <row r="76" spans="1:10" x14ac:dyDescent="0.3">
      <c r="A76" s="1">
        <v>74</v>
      </c>
      <c r="B76" s="1">
        <v>92</v>
      </c>
      <c r="C76" s="1" t="s">
        <v>354</v>
      </c>
      <c r="D76" s="1" t="s">
        <v>277</v>
      </c>
      <c r="E76" s="5">
        <v>3055585</v>
      </c>
      <c r="F76" s="7">
        <v>17.899999999999999</v>
      </c>
      <c r="G76" s="16">
        <v>82500800</v>
      </c>
      <c r="H76" s="1">
        <v>73</v>
      </c>
      <c r="I76" s="3">
        <v>11999520</v>
      </c>
      <c r="J76" s="7">
        <v>52</v>
      </c>
    </row>
    <row r="77" spans="1:10" x14ac:dyDescent="0.3">
      <c r="A77" s="1">
        <v>75</v>
      </c>
      <c r="B77" s="1">
        <v>64</v>
      </c>
      <c r="C77" s="1" t="s">
        <v>355</v>
      </c>
      <c r="D77" s="1" t="s">
        <v>275</v>
      </c>
      <c r="E77" s="5">
        <v>3044799</v>
      </c>
      <c r="F77" s="7">
        <v>-8.8000000000000007</v>
      </c>
      <c r="G77" s="16">
        <v>76119969</v>
      </c>
      <c r="H77" s="1">
        <v>81</v>
      </c>
      <c r="I77" s="3">
        <v>17219644</v>
      </c>
      <c r="J77" s="7">
        <v>4</v>
      </c>
    </row>
    <row r="78" spans="1:10" x14ac:dyDescent="0.3">
      <c r="A78" s="1">
        <v>76</v>
      </c>
      <c r="B78" s="1">
        <v>83</v>
      </c>
      <c r="C78" s="1" t="s">
        <v>356</v>
      </c>
      <c r="D78" s="1" t="s">
        <v>357</v>
      </c>
      <c r="E78" s="5">
        <v>2998854</v>
      </c>
      <c r="F78" s="7">
        <v>11</v>
      </c>
      <c r="G78" s="16">
        <v>71972500</v>
      </c>
      <c r="H78" s="1">
        <v>85</v>
      </c>
      <c r="I78" s="3">
        <v>13872716</v>
      </c>
      <c r="J78" s="7">
        <v>23</v>
      </c>
    </row>
    <row r="79" spans="1:10" x14ac:dyDescent="0.3">
      <c r="A79" s="1">
        <v>77</v>
      </c>
      <c r="B79" s="1">
        <v>129</v>
      </c>
      <c r="C79" s="1" t="s">
        <v>358</v>
      </c>
      <c r="D79" s="1" t="s">
        <v>277</v>
      </c>
      <c r="E79" s="5">
        <v>2899410</v>
      </c>
      <c r="F79" s="7">
        <v>33.9</v>
      </c>
      <c r="G79" s="16">
        <v>89881695</v>
      </c>
      <c r="H79" s="1">
        <v>63</v>
      </c>
      <c r="I79" s="3">
        <v>9477156</v>
      </c>
      <c r="J79" s="7">
        <v>202</v>
      </c>
    </row>
    <row r="80" spans="1:10" x14ac:dyDescent="0.3">
      <c r="A80" s="1">
        <v>78</v>
      </c>
      <c r="B80" s="1">
        <v>86</v>
      </c>
      <c r="C80" s="1" t="s">
        <v>359</v>
      </c>
      <c r="D80" s="1" t="s">
        <v>277</v>
      </c>
      <c r="E80" s="5">
        <v>2883185</v>
      </c>
      <c r="F80" s="7">
        <v>8.6999999999999993</v>
      </c>
      <c r="G80" s="16">
        <v>77845999</v>
      </c>
      <c r="H80" s="1">
        <v>77</v>
      </c>
      <c r="I80" s="3">
        <v>10065900</v>
      </c>
      <c r="J80" s="7">
        <v>265</v>
      </c>
    </row>
    <row r="81" spans="1:10" x14ac:dyDescent="0.3">
      <c r="A81" s="1">
        <v>79</v>
      </c>
      <c r="B81" s="1">
        <v>100</v>
      </c>
      <c r="C81" s="1" t="s">
        <v>360</v>
      </c>
      <c r="D81" s="1" t="s">
        <v>357</v>
      </c>
      <c r="E81" s="5">
        <v>2864519</v>
      </c>
      <c r="F81" s="7">
        <v>16.3</v>
      </c>
      <c r="G81" s="16">
        <v>74477500</v>
      </c>
      <c r="H81" s="1">
        <v>83</v>
      </c>
      <c r="I81" s="3">
        <v>13069212</v>
      </c>
      <c r="J81" s="7">
        <v>13</v>
      </c>
    </row>
    <row r="82" spans="1:10" x14ac:dyDescent="0.3">
      <c r="A82" s="1">
        <v>80</v>
      </c>
      <c r="B82" s="1">
        <v>27</v>
      </c>
      <c r="C82" s="1" t="s">
        <v>361</v>
      </c>
      <c r="D82" s="1" t="s">
        <v>283</v>
      </c>
      <c r="E82" s="5">
        <v>2862461</v>
      </c>
      <c r="F82" s="7">
        <v>-41.6</v>
      </c>
      <c r="G82" s="16">
        <v>42936909</v>
      </c>
      <c r="H82" s="1">
        <v>167</v>
      </c>
      <c r="I82" s="3">
        <v>22120280</v>
      </c>
      <c r="J82" s="7">
        <v>-38</v>
      </c>
    </row>
    <row r="83" spans="1:10" x14ac:dyDescent="0.3">
      <c r="A83" s="1">
        <v>81</v>
      </c>
      <c r="B83" s="1">
        <v>96</v>
      </c>
      <c r="C83" s="1" t="s">
        <v>362</v>
      </c>
      <c r="D83" s="1" t="s">
        <v>357</v>
      </c>
      <c r="E83" s="5">
        <v>2860000</v>
      </c>
      <c r="F83" s="7">
        <v>13.9</v>
      </c>
      <c r="G83" s="16">
        <v>68640000</v>
      </c>
      <c r="H83" s="1">
        <v>91</v>
      </c>
      <c r="I83" s="3">
        <v>12023648</v>
      </c>
      <c r="J83" s="7">
        <v>42</v>
      </c>
    </row>
    <row r="84" spans="1:10" x14ac:dyDescent="0.3">
      <c r="A84" s="1">
        <v>82</v>
      </c>
      <c r="B84" s="1">
        <v>76</v>
      </c>
      <c r="C84" s="1" t="s">
        <v>363</v>
      </c>
      <c r="D84" s="1" t="s">
        <v>357</v>
      </c>
      <c r="E84" s="5">
        <v>2838043</v>
      </c>
      <c r="F84" s="7">
        <v>2</v>
      </c>
      <c r="G84" s="16">
        <v>65275000</v>
      </c>
      <c r="H84" s="1">
        <v>105</v>
      </c>
      <c r="I84" s="3">
        <v>12431432</v>
      </c>
      <c r="J84" s="7">
        <v>22</v>
      </c>
    </row>
    <row r="85" spans="1:10" x14ac:dyDescent="0.3">
      <c r="A85" s="1">
        <v>83</v>
      </c>
      <c r="B85" s="1">
        <v>133</v>
      </c>
      <c r="C85" s="1" t="s">
        <v>364</v>
      </c>
      <c r="D85" s="1" t="s">
        <v>277</v>
      </c>
      <c r="E85" s="5">
        <v>2828810</v>
      </c>
      <c r="F85" s="7">
        <v>31.9</v>
      </c>
      <c r="G85" s="16">
        <v>82035490</v>
      </c>
      <c r="H85" s="1">
        <v>74</v>
      </c>
      <c r="I85" s="3">
        <v>11141312</v>
      </c>
      <c r="J85" s="7">
        <v>23</v>
      </c>
    </row>
    <row r="86" spans="1:10" x14ac:dyDescent="0.3">
      <c r="A86" s="1">
        <v>84</v>
      </c>
      <c r="B86" s="1">
        <v>121</v>
      </c>
      <c r="C86" s="1" t="s">
        <v>365</v>
      </c>
      <c r="D86" s="1" t="s">
        <v>357</v>
      </c>
      <c r="E86" s="5">
        <v>2705217</v>
      </c>
      <c r="F86" s="7">
        <v>22.3</v>
      </c>
      <c r="G86" s="16">
        <v>62220000</v>
      </c>
      <c r="H86" s="1">
        <v>118</v>
      </c>
      <c r="I86" s="3">
        <v>10736180</v>
      </c>
      <c r="J86" s="7">
        <v>41</v>
      </c>
    </row>
    <row r="87" spans="1:10" x14ac:dyDescent="0.3">
      <c r="A87" s="1">
        <v>85</v>
      </c>
      <c r="B87" s="1">
        <v>84</v>
      </c>
      <c r="C87" s="1" t="s">
        <v>366</v>
      </c>
      <c r="D87" s="1" t="s">
        <v>357</v>
      </c>
      <c r="E87" s="5">
        <v>2699960</v>
      </c>
      <c r="F87" s="7">
        <v>0.2</v>
      </c>
      <c r="G87" s="16">
        <v>67499000</v>
      </c>
      <c r="H87" s="1">
        <v>95</v>
      </c>
      <c r="I87" s="3">
        <v>12965368</v>
      </c>
      <c r="J87" s="7">
        <v>18</v>
      </c>
    </row>
    <row r="88" spans="1:10" x14ac:dyDescent="0.3">
      <c r="A88" s="1">
        <v>86</v>
      </c>
      <c r="B88" s="1">
        <v>104</v>
      </c>
      <c r="C88" s="1" t="s">
        <v>367</v>
      </c>
      <c r="D88" s="1" t="s">
        <v>275</v>
      </c>
      <c r="E88" s="5">
        <v>2678222</v>
      </c>
      <c r="F88" s="7">
        <v>10.3</v>
      </c>
      <c r="G88" s="16">
        <v>66955551</v>
      </c>
      <c r="H88" s="1">
        <v>99</v>
      </c>
      <c r="I88" s="3">
        <v>10967944</v>
      </c>
      <c r="J88" s="7">
        <v>91</v>
      </c>
    </row>
    <row r="89" spans="1:10" x14ac:dyDescent="0.3">
      <c r="A89" s="1">
        <v>87</v>
      </c>
      <c r="B89" s="1">
        <v>85</v>
      </c>
      <c r="C89" s="1" t="s">
        <v>368</v>
      </c>
      <c r="D89" s="1" t="s">
        <v>357</v>
      </c>
      <c r="E89" s="5">
        <v>2675417</v>
      </c>
      <c r="F89" s="7">
        <v>0.7</v>
      </c>
      <c r="G89" s="16">
        <v>64210000</v>
      </c>
      <c r="H89" s="1">
        <v>108</v>
      </c>
      <c r="I89" s="3">
        <v>13233844</v>
      </c>
      <c r="J89" s="7">
        <v>-4</v>
      </c>
    </row>
    <row r="90" spans="1:10" x14ac:dyDescent="0.3">
      <c r="A90" s="1">
        <v>88</v>
      </c>
      <c r="B90" s="1">
        <v>75</v>
      </c>
      <c r="C90" s="1" t="s">
        <v>369</v>
      </c>
      <c r="D90" s="1" t="s">
        <v>275</v>
      </c>
      <c r="E90" s="5">
        <v>2664731</v>
      </c>
      <c r="F90" s="7">
        <v>-4.3</v>
      </c>
      <c r="G90" s="16">
        <v>66618266</v>
      </c>
      <c r="H90" s="1">
        <v>100</v>
      </c>
      <c r="I90" s="3">
        <v>14557140</v>
      </c>
      <c r="J90" s="7">
        <v>-24</v>
      </c>
    </row>
    <row r="91" spans="1:10" x14ac:dyDescent="0.3">
      <c r="A91" s="1">
        <v>89</v>
      </c>
      <c r="B91" s="1">
        <v>59</v>
      </c>
      <c r="C91" s="1" t="s">
        <v>370</v>
      </c>
      <c r="D91" s="1" t="s">
        <v>277</v>
      </c>
      <c r="E91" s="5">
        <v>2662370</v>
      </c>
      <c r="F91" s="7">
        <v>-26</v>
      </c>
      <c r="G91" s="16">
        <v>74546356</v>
      </c>
      <c r="H91" s="1">
        <v>82</v>
      </c>
      <c r="I91" s="3">
        <v>19283888</v>
      </c>
      <c r="J91" s="7">
        <v>-43</v>
      </c>
    </row>
    <row r="92" spans="1:10" x14ac:dyDescent="0.3">
      <c r="A92" s="1">
        <v>90</v>
      </c>
      <c r="B92" s="1">
        <v>155</v>
      </c>
      <c r="C92" s="1" t="s">
        <v>371</v>
      </c>
      <c r="D92" s="1" t="s">
        <v>297</v>
      </c>
      <c r="E92" s="5">
        <v>2658772</v>
      </c>
      <c r="F92" s="7">
        <v>35.299999999999997</v>
      </c>
      <c r="G92" s="16">
        <v>69128080</v>
      </c>
      <c r="H92" s="1">
        <v>89</v>
      </c>
      <c r="I92" s="3">
        <v>8491704</v>
      </c>
      <c r="J92" s="7">
        <v>363</v>
      </c>
    </row>
    <row r="93" spans="1:10" x14ac:dyDescent="0.3">
      <c r="A93" s="1">
        <v>91</v>
      </c>
      <c r="B93" s="1">
        <v>147</v>
      </c>
      <c r="C93" s="1" t="s">
        <v>372</v>
      </c>
      <c r="D93" s="1" t="s">
        <v>280</v>
      </c>
      <c r="E93" s="5">
        <v>2634559</v>
      </c>
      <c r="F93" s="7">
        <v>28.8</v>
      </c>
      <c r="G93" s="16">
        <v>65863987</v>
      </c>
      <c r="H93" s="1">
        <v>103</v>
      </c>
      <c r="I93" s="3">
        <v>0</v>
      </c>
      <c r="J93" s="7">
        <v>0</v>
      </c>
    </row>
    <row r="94" spans="1:10" x14ac:dyDescent="0.3">
      <c r="A94" s="1">
        <v>92</v>
      </c>
      <c r="B94" s="1">
        <v>80</v>
      </c>
      <c r="C94" s="1" t="s">
        <v>373</v>
      </c>
      <c r="D94" s="1" t="s">
        <v>357</v>
      </c>
      <c r="E94" s="5">
        <v>2628077</v>
      </c>
      <c r="F94" s="7">
        <v>-4.7</v>
      </c>
      <c r="G94" s="16">
        <v>68330000</v>
      </c>
      <c r="H94" s="1">
        <v>92</v>
      </c>
      <c r="I94" s="3">
        <v>12907856</v>
      </c>
      <c r="J94" s="7">
        <v>24</v>
      </c>
    </row>
    <row r="95" spans="1:10" x14ac:dyDescent="0.3">
      <c r="A95" s="1">
        <v>93</v>
      </c>
      <c r="B95" s="1">
        <v>98</v>
      </c>
      <c r="C95" s="1" t="s">
        <v>374</v>
      </c>
      <c r="D95" s="1" t="s">
        <v>275</v>
      </c>
      <c r="E95" s="5">
        <v>2622287</v>
      </c>
      <c r="F95" s="7">
        <v>5.0999999999999996</v>
      </c>
      <c r="G95" s="16">
        <v>65557187</v>
      </c>
      <c r="H95" s="1">
        <v>104</v>
      </c>
      <c r="I95" s="3">
        <v>11953188</v>
      </c>
      <c r="J95" s="7">
        <v>17</v>
      </c>
    </row>
    <row r="96" spans="1:10" x14ac:dyDescent="0.3">
      <c r="A96" s="1">
        <v>94</v>
      </c>
      <c r="B96" s="1">
        <v>90</v>
      </c>
      <c r="C96" s="1" t="s">
        <v>375</v>
      </c>
      <c r="D96" s="1" t="s">
        <v>357</v>
      </c>
      <c r="E96" s="5">
        <v>2614792</v>
      </c>
      <c r="F96" s="7">
        <v>-0.4</v>
      </c>
      <c r="G96" s="16">
        <v>62755000</v>
      </c>
      <c r="H96" s="1">
        <v>113</v>
      </c>
      <c r="I96" s="3">
        <v>12261392</v>
      </c>
      <c r="J96" s="7">
        <v>24</v>
      </c>
    </row>
    <row r="97" spans="1:10" x14ac:dyDescent="0.3">
      <c r="A97" s="1">
        <v>95</v>
      </c>
      <c r="B97" s="1">
        <v>87</v>
      </c>
      <c r="C97" s="1" t="s">
        <v>376</v>
      </c>
      <c r="D97" s="1" t="s">
        <v>357</v>
      </c>
      <c r="E97" s="5">
        <v>2551891</v>
      </c>
      <c r="F97" s="7">
        <v>-3.4</v>
      </c>
      <c r="G97" s="16">
        <v>66349166</v>
      </c>
      <c r="H97" s="1">
        <v>101</v>
      </c>
      <c r="I97" s="3">
        <v>12648376</v>
      </c>
      <c r="J97" s="7">
        <v>5</v>
      </c>
    </row>
    <row r="98" spans="1:10" x14ac:dyDescent="0.3">
      <c r="A98" s="1">
        <v>96</v>
      </c>
      <c r="B98" s="1">
        <v>115</v>
      </c>
      <c r="C98" s="1" t="s">
        <v>377</v>
      </c>
      <c r="D98" s="1" t="s">
        <v>297</v>
      </c>
      <c r="E98" s="5">
        <v>2530008</v>
      </c>
      <c r="F98" s="7">
        <v>9.6999999999999993</v>
      </c>
      <c r="G98" s="16">
        <v>86020280</v>
      </c>
      <c r="H98" s="1">
        <v>68</v>
      </c>
      <c r="I98" s="3">
        <v>8697572</v>
      </c>
      <c r="J98" s="7">
        <v>168</v>
      </c>
    </row>
    <row r="99" spans="1:10" x14ac:dyDescent="0.3">
      <c r="A99" s="1">
        <v>97</v>
      </c>
      <c r="B99" s="1">
        <v>122</v>
      </c>
      <c r="C99" s="1" t="s">
        <v>378</v>
      </c>
      <c r="D99" s="1" t="s">
        <v>357</v>
      </c>
      <c r="E99" s="5">
        <v>2527685</v>
      </c>
      <c r="F99" s="7">
        <v>14.4</v>
      </c>
      <c r="G99" s="16">
        <v>68247500</v>
      </c>
      <c r="H99" s="1">
        <v>93</v>
      </c>
      <c r="I99" s="3">
        <v>12600744</v>
      </c>
      <c r="J99" s="7">
        <v>6</v>
      </c>
    </row>
    <row r="100" spans="1:10" x14ac:dyDescent="0.3">
      <c r="A100" s="1">
        <v>98</v>
      </c>
      <c r="B100" s="1" t="s">
        <v>597</v>
      </c>
      <c r="C100" s="1" t="s">
        <v>379</v>
      </c>
      <c r="D100" s="1" t="s">
        <v>304</v>
      </c>
      <c r="E100" s="5">
        <v>2524438</v>
      </c>
      <c r="F100" s="7">
        <v>0</v>
      </c>
      <c r="G100" s="16">
        <v>6214000</v>
      </c>
      <c r="H100" s="1">
        <v>249</v>
      </c>
      <c r="I100" s="3">
        <v>0</v>
      </c>
      <c r="J100" s="7">
        <v>0</v>
      </c>
    </row>
    <row r="101" spans="1:10" x14ac:dyDescent="0.3">
      <c r="A101" s="1">
        <v>99</v>
      </c>
      <c r="B101" s="1">
        <v>112</v>
      </c>
      <c r="C101" s="1" t="s">
        <v>380</v>
      </c>
      <c r="D101" s="1" t="s">
        <v>357</v>
      </c>
      <c r="E101" s="5">
        <v>2508600</v>
      </c>
      <c r="F101" s="7">
        <v>7.4</v>
      </c>
      <c r="G101" s="16">
        <v>62715000</v>
      </c>
      <c r="H101" s="1">
        <v>114</v>
      </c>
      <c r="I101" s="3">
        <v>11270896</v>
      </c>
      <c r="J101" s="7">
        <v>21</v>
      </c>
    </row>
    <row r="102" spans="1:10" x14ac:dyDescent="0.3">
      <c r="A102" s="1">
        <v>100</v>
      </c>
      <c r="B102" s="1">
        <v>139</v>
      </c>
      <c r="C102" s="1" t="s">
        <v>381</v>
      </c>
      <c r="D102" s="1" t="s">
        <v>277</v>
      </c>
      <c r="E102" s="5">
        <v>2490997</v>
      </c>
      <c r="F102" s="7">
        <v>19.100000000000001</v>
      </c>
      <c r="G102" s="16">
        <v>77220900</v>
      </c>
      <c r="H102" s="1">
        <v>79</v>
      </c>
      <c r="I102" s="3">
        <v>10274160</v>
      </c>
      <c r="J102" s="7">
        <v>70</v>
      </c>
    </row>
    <row r="103" spans="1:10" x14ac:dyDescent="0.3">
      <c r="A103" s="1">
        <v>101</v>
      </c>
      <c r="B103" s="1">
        <v>99</v>
      </c>
      <c r="C103" s="1" t="s">
        <v>382</v>
      </c>
      <c r="D103" s="1" t="s">
        <v>357</v>
      </c>
      <c r="E103" s="5">
        <v>2488600</v>
      </c>
      <c r="F103" s="7">
        <v>0.9</v>
      </c>
      <c r="G103" s="16">
        <v>62215000</v>
      </c>
      <c r="H103" s="1">
        <v>119</v>
      </c>
      <c r="I103" s="3">
        <v>12400596</v>
      </c>
      <c r="J103" s="7">
        <v>7</v>
      </c>
    </row>
    <row r="104" spans="1:10" x14ac:dyDescent="0.3">
      <c r="A104" s="1">
        <v>102</v>
      </c>
      <c r="B104" s="1">
        <v>88</v>
      </c>
      <c r="C104" s="1" t="s">
        <v>383</v>
      </c>
      <c r="D104" s="1" t="s">
        <v>280</v>
      </c>
      <c r="E104" s="5">
        <v>2484453</v>
      </c>
      <c r="F104" s="7">
        <v>-6.6</v>
      </c>
      <c r="G104" s="16">
        <v>62111320</v>
      </c>
      <c r="H104" s="1">
        <v>121</v>
      </c>
      <c r="I104" s="3">
        <v>0</v>
      </c>
      <c r="J104" s="7">
        <v>0</v>
      </c>
    </row>
    <row r="105" spans="1:10" x14ac:dyDescent="0.3">
      <c r="A105" s="1">
        <v>103</v>
      </c>
      <c r="B105" s="1">
        <v>63</v>
      </c>
      <c r="C105" s="1" t="s">
        <v>384</v>
      </c>
      <c r="D105" s="1" t="s">
        <v>304</v>
      </c>
      <c r="E105" s="5">
        <v>2478125</v>
      </c>
      <c r="F105" s="7">
        <v>-26.1</v>
      </c>
      <c r="G105" s="16">
        <v>6100000</v>
      </c>
      <c r="H105" s="1">
        <v>250</v>
      </c>
      <c r="I105" s="3">
        <v>16717584</v>
      </c>
      <c r="J105" s="7">
        <v>-36</v>
      </c>
    </row>
    <row r="106" spans="1:10" x14ac:dyDescent="0.3">
      <c r="A106" s="1">
        <v>104</v>
      </c>
      <c r="B106" s="1">
        <v>111</v>
      </c>
      <c r="C106" s="1" t="s">
        <v>385</v>
      </c>
      <c r="D106" s="1" t="s">
        <v>357</v>
      </c>
      <c r="E106" s="5">
        <v>2467660</v>
      </c>
      <c r="F106" s="7">
        <v>5.0999999999999996</v>
      </c>
      <c r="G106" s="16">
        <v>64159167</v>
      </c>
      <c r="H106" s="1">
        <v>109</v>
      </c>
      <c r="I106" s="3">
        <v>10363912</v>
      </c>
      <c r="J106" s="7">
        <v>30</v>
      </c>
    </row>
    <row r="107" spans="1:10" x14ac:dyDescent="0.3">
      <c r="A107" s="1">
        <v>105</v>
      </c>
      <c r="B107" s="1">
        <v>93</v>
      </c>
      <c r="C107" s="1" t="s">
        <v>386</v>
      </c>
      <c r="D107" s="1" t="s">
        <v>357</v>
      </c>
      <c r="E107" s="5">
        <v>2456452</v>
      </c>
      <c r="F107" s="7">
        <v>-4.5</v>
      </c>
      <c r="G107" s="16">
        <v>76150000</v>
      </c>
      <c r="H107" s="1">
        <v>80</v>
      </c>
      <c r="I107" s="3">
        <v>12233624</v>
      </c>
      <c r="J107" s="7">
        <v>4</v>
      </c>
    </row>
    <row r="108" spans="1:10" x14ac:dyDescent="0.3">
      <c r="A108" s="1">
        <v>106</v>
      </c>
      <c r="B108" s="1">
        <v>117</v>
      </c>
      <c r="C108" s="1" t="s">
        <v>387</v>
      </c>
      <c r="D108" s="1" t="s">
        <v>357</v>
      </c>
      <c r="E108" s="5">
        <v>2447917</v>
      </c>
      <c r="F108" s="7">
        <v>8.1999999999999993</v>
      </c>
      <c r="G108" s="16">
        <v>58750000</v>
      </c>
      <c r="H108" s="1">
        <v>136</v>
      </c>
      <c r="I108" s="3">
        <v>10875852</v>
      </c>
      <c r="J108" s="7">
        <v>35</v>
      </c>
    </row>
    <row r="109" spans="1:10" x14ac:dyDescent="0.3">
      <c r="A109" s="1">
        <v>107</v>
      </c>
      <c r="B109" s="1">
        <v>135</v>
      </c>
      <c r="C109" s="1" t="s">
        <v>388</v>
      </c>
      <c r="D109" s="1" t="s">
        <v>285</v>
      </c>
      <c r="E109" s="5">
        <v>2440184</v>
      </c>
      <c r="F109" s="7">
        <v>15.2</v>
      </c>
      <c r="G109" s="16">
        <v>65884960</v>
      </c>
      <c r="H109" s="1">
        <v>102</v>
      </c>
      <c r="I109" s="3">
        <v>0</v>
      </c>
      <c r="J109" s="7">
        <v>0</v>
      </c>
    </row>
    <row r="110" spans="1:10" x14ac:dyDescent="0.3">
      <c r="A110" s="1">
        <v>108</v>
      </c>
      <c r="B110" s="1">
        <v>72</v>
      </c>
      <c r="C110" s="1" t="s">
        <v>389</v>
      </c>
      <c r="D110" s="1" t="s">
        <v>285</v>
      </c>
      <c r="E110" s="5">
        <v>2436625</v>
      </c>
      <c r="F110" s="7">
        <v>-17.5</v>
      </c>
      <c r="G110" s="16">
        <v>58479000</v>
      </c>
      <c r="H110" s="1">
        <v>137</v>
      </c>
      <c r="I110" s="3">
        <v>0</v>
      </c>
      <c r="J110" s="7">
        <v>0</v>
      </c>
    </row>
    <row r="111" spans="1:10" x14ac:dyDescent="0.3">
      <c r="A111" s="1">
        <v>109</v>
      </c>
      <c r="B111" s="1">
        <v>73</v>
      </c>
      <c r="C111" s="1" t="s">
        <v>390</v>
      </c>
      <c r="D111" s="1" t="s">
        <v>275</v>
      </c>
      <c r="E111" s="5">
        <v>2431002</v>
      </c>
      <c r="F111" s="7">
        <v>-15.4</v>
      </c>
      <c r="G111" s="16">
        <v>60775039</v>
      </c>
      <c r="H111" s="1">
        <v>127</v>
      </c>
      <c r="I111" s="3">
        <v>11160968</v>
      </c>
      <c r="J111" s="7">
        <v>74</v>
      </c>
    </row>
    <row r="112" spans="1:10" x14ac:dyDescent="0.3">
      <c r="A112" s="1">
        <v>110</v>
      </c>
      <c r="B112" s="1">
        <v>125</v>
      </c>
      <c r="C112" s="1" t="s">
        <v>391</v>
      </c>
      <c r="D112" s="1" t="s">
        <v>357</v>
      </c>
      <c r="E112" s="5">
        <v>2427800</v>
      </c>
      <c r="F112" s="7">
        <v>10.4</v>
      </c>
      <c r="G112" s="16">
        <v>60695000</v>
      </c>
      <c r="H112" s="1">
        <v>128</v>
      </c>
      <c r="I112" s="3">
        <v>12086932</v>
      </c>
      <c r="J112" s="7">
        <v>-10</v>
      </c>
    </row>
    <row r="113" spans="1:10" x14ac:dyDescent="0.3">
      <c r="A113" s="1">
        <v>111</v>
      </c>
      <c r="B113" s="1">
        <v>101</v>
      </c>
      <c r="C113" s="1" t="s">
        <v>392</v>
      </c>
      <c r="D113" s="1" t="s">
        <v>285</v>
      </c>
      <c r="E113" s="5">
        <v>2390896</v>
      </c>
      <c r="F113" s="7">
        <v>-2.8</v>
      </c>
      <c r="G113" s="16">
        <v>59772400</v>
      </c>
      <c r="H113" s="1">
        <v>129</v>
      </c>
      <c r="I113" s="3">
        <v>0</v>
      </c>
      <c r="J113" s="7">
        <v>0</v>
      </c>
    </row>
    <row r="114" spans="1:10" x14ac:dyDescent="0.3">
      <c r="A114" s="1">
        <v>112</v>
      </c>
      <c r="B114" s="1">
        <v>118</v>
      </c>
      <c r="C114" s="1" t="s">
        <v>393</v>
      </c>
      <c r="D114" s="1" t="s">
        <v>275</v>
      </c>
      <c r="E114" s="5">
        <v>2360048</v>
      </c>
      <c r="F114" s="7">
        <v>4.5</v>
      </c>
      <c r="G114" s="16">
        <v>59001195</v>
      </c>
      <c r="H114" s="1">
        <v>135</v>
      </c>
      <c r="I114" s="3">
        <v>0</v>
      </c>
      <c r="J114" s="7">
        <v>0</v>
      </c>
    </row>
    <row r="115" spans="1:10" x14ac:dyDescent="0.3">
      <c r="A115" s="1">
        <v>113</v>
      </c>
      <c r="B115" s="1">
        <v>149</v>
      </c>
      <c r="C115" s="1" t="s">
        <v>394</v>
      </c>
      <c r="D115" s="1" t="s">
        <v>285</v>
      </c>
      <c r="E115" s="5">
        <v>2342918</v>
      </c>
      <c r="F115" s="7">
        <v>16.100000000000001</v>
      </c>
      <c r="G115" s="16">
        <v>60915872</v>
      </c>
      <c r="H115" s="1">
        <v>125</v>
      </c>
      <c r="I115" s="3">
        <v>0</v>
      </c>
      <c r="J115" s="7">
        <v>0</v>
      </c>
    </row>
    <row r="116" spans="1:10" x14ac:dyDescent="0.3">
      <c r="A116" s="1">
        <v>114</v>
      </c>
      <c r="B116" s="1">
        <v>131</v>
      </c>
      <c r="C116" s="1" t="s">
        <v>395</v>
      </c>
      <c r="D116" s="1" t="s">
        <v>357</v>
      </c>
      <c r="E116" s="5">
        <v>2339583</v>
      </c>
      <c r="F116" s="7">
        <v>8.9</v>
      </c>
      <c r="G116" s="16">
        <v>56150000</v>
      </c>
      <c r="H116" s="1">
        <v>142</v>
      </c>
      <c r="I116" s="3">
        <v>10225436</v>
      </c>
      <c r="J116" s="7">
        <v>42</v>
      </c>
    </row>
    <row r="117" spans="1:10" x14ac:dyDescent="0.3">
      <c r="A117" s="1">
        <v>115</v>
      </c>
      <c r="B117" s="1">
        <v>153</v>
      </c>
      <c r="C117" s="1" t="s">
        <v>396</v>
      </c>
      <c r="D117" s="1" t="s">
        <v>397</v>
      </c>
      <c r="E117" s="5">
        <v>2315053</v>
      </c>
      <c r="F117" s="7">
        <v>15.5</v>
      </c>
      <c r="G117" s="16">
        <v>122697830</v>
      </c>
      <c r="H117" s="1">
        <v>23</v>
      </c>
      <c r="I117" s="3">
        <v>11679668</v>
      </c>
      <c r="J117" s="7">
        <v>2</v>
      </c>
    </row>
    <row r="118" spans="1:10" x14ac:dyDescent="0.3">
      <c r="A118" s="1">
        <v>116</v>
      </c>
      <c r="B118" s="1">
        <v>162</v>
      </c>
      <c r="C118" s="1" t="s">
        <v>398</v>
      </c>
      <c r="D118" s="1" t="s">
        <v>397</v>
      </c>
      <c r="E118" s="5">
        <v>2303317</v>
      </c>
      <c r="F118" s="7">
        <v>26</v>
      </c>
      <c r="G118" s="16">
        <v>122075805</v>
      </c>
      <c r="H118" s="1">
        <v>24</v>
      </c>
      <c r="I118" s="3">
        <v>10627968</v>
      </c>
      <c r="J118" s="7">
        <v>43</v>
      </c>
    </row>
    <row r="119" spans="1:10" x14ac:dyDescent="0.3">
      <c r="A119" s="1">
        <v>117</v>
      </c>
      <c r="B119" s="1">
        <v>127</v>
      </c>
      <c r="C119" s="1" t="s">
        <v>399</v>
      </c>
      <c r="D119" s="1" t="s">
        <v>275</v>
      </c>
      <c r="E119" s="5">
        <v>2301740</v>
      </c>
      <c r="F119" s="7">
        <v>5.7</v>
      </c>
      <c r="G119" s="16">
        <v>57543488</v>
      </c>
      <c r="H119" s="1">
        <v>138</v>
      </c>
      <c r="I119" s="3">
        <v>0</v>
      </c>
      <c r="J119" s="7">
        <v>0</v>
      </c>
    </row>
    <row r="120" spans="1:10" x14ac:dyDescent="0.3">
      <c r="A120" s="1">
        <v>118</v>
      </c>
      <c r="B120" s="1">
        <v>113</v>
      </c>
      <c r="C120" s="1" t="s">
        <v>400</v>
      </c>
      <c r="D120" s="1" t="s">
        <v>357</v>
      </c>
      <c r="E120" s="5">
        <v>2296769</v>
      </c>
      <c r="F120" s="7">
        <v>-0.6</v>
      </c>
      <c r="G120" s="16">
        <v>59716000</v>
      </c>
      <c r="H120" s="1">
        <v>131</v>
      </c>
      <c r="I120" s="3">
        <v>10013536</v>
      </c>
      <c r="J120" s="7">
        <v>19</v>
      </c>
    </row>
    <row r="121" spans="1:10" x14ac:dyDescent="0.3">
      <c r="A121" s="1">
        <v>119</v>
      </c>
      <c r="B121" s="1">
        <v>97</v>
      </c>
      <c r="C121" s="1" t="s">
        <v>401</v>
      </c>
      <c r="D121" s="1" t="s">
        <v>357</v>
      </c>
      <c r="E121" s="5">
        <v>2294519</v>
      </c>
      <c r="F121" s="7">
        <v>-8.5</v>
      </c>
      <c r="G121" s="16">
        <v>59657500</v>
      </c>
      <c r="H121" s="1">
        <v>132</v>
      </c>
      <c r="I121" s="3">
        <v>11233456</v>
      </c>
      <c r="J121" s="7">
        <v>7</v>
      </c>
    </row>
    <row r="122" spans="1:10" x14ac:dyDescent="0.3">
      <c r="A122" s="1">
        <v>120</v>
      </c>
      <c r="B122" s="1">
        <v>103</v>
      </c>
      <c r="C122" s="1" t="s">
        <v>402</v>
      </c>
      <c r="D122" s="1" t="s">
        <v>357</v>
      </c>
      <c r="E122" s="5">
        <v>2264790</v>
      </c>
      <c r="F122" s="7">
        <v>-7.6</v>
      </c>
      <c r="G122" s="16">
        <v>63414125</v>
      </c>
      <c r="H122" s="1">
        <v>112</v>
      </c>
      <c r="I122" s="3">
        <v>11542232</v>
      </c>
      <c r="J122" s="7">
        <v>14</v>
      </c>
    </row>
    <row r="123" spans="1:10" x14ac:dyDescent="0.3">
      <c r="A123" s="1">
        <v>121</v>
      </c>
      <c r="B123" s="1">
        <v>107</v>
      </c>
      <c r="C123" s="1" t="s">
        <v>403</v>
      </c>
      <c r="D123" s="1" t="s">
        <v>397</v>
      </c>
      <c r="E123" s="5">
        <v>2235822</v>
      </c>
      <c r="F123" s="7">
        <v>-6.4</v>
      </c>
      <c r="G123" s="16">
        <v>118498578</v>
      </c>
      <c r="H123" s="1">
        <v>25</v>
      </c>
      <c r="I123" s="3">
        <v>11523876</v>
      </c>
      <c r="J123" s="7">
        <v>2</v>
      </c>
    </row>
    <row r="124" spans="1:10" x14ac:dyDescent="0.3">
      <c r="A124" s="1">
        <v>122</v>
      </c>
      <c r="B124" s="1">
        <v>89</v>
      </c>
      <c r="C124" s="1" t="s">
        <v>404</v>
      </c>
      <c r="D124" s="1" t="s">
        <v>357</v>
      </c>
      <c r="E124" s="5">
        <v>2234896</v>
      </c>
      <c r="F124" s="7">
        <v>-15</v>
      </c>
      <c r="G124" s="16">
        <v>53637500</v>
      </c>
      <c r="H124" s="1">
        <v>146</v>
      </c>
      <c r="I124" s="3">
        <v>12668292</v>
      </c>
      <c r="J124" s="7">
        <v>-7</v>
      </c>
    </row>
    <row r="125" spans="1:10" x14ac:dyDescent="0.3">
      <c r="A125" s="1">
        <v>123</v>
      </c>
      <c r="B125" s="1">
        <v>124</v>
      </c>
      <c r="C125" s="1" t="s">
        <v>405</v>
      </c>
      <c r="D125" s="1" t="s">
        <v>357</v>
      </c>
      <c r="E125" s="5">
        <v>2225000</v>
      </c>
      <c r="F125" s="7">
        <v>0.9</v>
      </c>
      <c r="G125" s="16">
        <v>53400000</v>
      </c>
      <c r="H125" s="1">
        <v>147</v>
      </c>
      <c r="I125" s="3">
        <v>9461192</v>
      </c>
      <c r="J125" s="7">
        <v>22</v>
      </c>
    </row>
    <row r="126" spans="1:10" x14ac:dyDescent="0.3">
      <c r="A126" s="1">
        <v>124</v>
      </c>
      <c r="B126" s="1">
        <v>102</v>
      </c>
      <c r="C126" s="1" t="s">
        <v>406</v>
      </c>
      <c r="D126" s="1" t="s">
        <v>357</v>
      </c>
      <c r="E126" s="5">
        <v>2222200</v>
      </c>
      <c r="F126" s="7">
        <v>-9.5</v>
      </c>
      <c r="G126" s="16">
        <v>55555000</v>
      </c>
      <c r="H126" s="1">
        <v>143</v>
      </c>
      <c r="I126" s="3">
        <v>10869248</v>
      </c>
      <c r="J126" s="7">
        <v>-2</v>
      </c>
    </row>
    <row r="127" spans="1:10" x14ac:dyDescent="0.3">
      <c r="A127" s="1">
        <v>125</v>
      </c>
      <c r="B127" s="1">
        <v>110</v>
      </c>
      <c r="C127" s="1" t="s">
        <v>407</v>
      </c>
      <c r="D127" s="1" t="s">
        <v>397</v>
      </c>
      <c r="E127" s="5">
        <v>2213884</v>
      </c>
      <c r="F127" s="7">
        <v>-5.7</v>
      </c>
      <c r="G127" s="16">
        <v>117335842</v>
      </c>
      <c r="H127" s="1">
        <v>26</v>
      </c>
      <c r="I127" s="3">
        <v>9810580</v>
      </c>
      <c r="J127" s="7">
        <v>37</v>
      </c>
    </row>
    <row r="128" spans="1:10" x14ac:dyDescent="0.3">
      <c r="A128" s="1">
        <v>126</v>
      </c>
      <c r="B128" s="1">
        <v>128</v>
      </c>
      <c r="C128" s="1" t="s">
        <v>408</v>
      </c>
      <c r="D128" s="1" t="s">
        <v>357</v>
      </c>
      <c r="E128" s="5">
        <v>2212315</v>
      </c>
      <c r="F128" s="7">
        <v>1.8</v>
      </c>
      <c r="G128" s="16">
        <v>59732500</v>
      </c>
      <c r="H128" s="1">
        <v>130</v>
      </c>
      <c r="I128" s="3">
        <v>11082396</v>
      </c>
      <c r="J128" s="7">
        <v>11</v>
      </c>
    </row>
    <row r="129" spans="1:10" x14ac:dyDescent="0.3">
      <c r="A129" s="1">
        <v>127</v>
      </c>
      <c r="B129" s="1">
        <v>137</v>
      </c>
      <c r="C129" s="1" t="s">
        <v>409</v>
      </c>
      <c r="D129" s="1" t="s">
        <v>357</v>
      </c>
      <c r="E129" s="5">
        <v>2211771</v>
      </c>
      <c r="F129" s="7">
        <v>4.5</v>
      </c>
      <c r="G129" s="16">
        <v>53082500</v>
      </c>
      <c r="H129" s="1">
        <v>148</v>
      </c>
      <c r="I129" s="3">
        <v>11403080</v>
      </c>
      <c r="J129" s="7">
        <v>-12</v>
      </c>
    </row>
    <row r="130" spans="1:10" x14ac:dyDescent="0.3">
      <c r="A130" s="1">
        <v>128</v>
      </c>
      <c r="B130" s="1">
        <v>164</v>
      </c>
      <c r="C130" s="1" t="s">
        <v>410</v>
      </c>
      <c r="D130" s="1" t="s">
        <v>285</v>
      </c>
      <c r="E130" s="5">
        <v>2198933</v>
      </c>
      <c r="F130" s="7">
        <v>20.7</v>
      </c>
      <c r="G130" s="16">
        <v>59371200</v>
      </c>
      <c r="H130" s="1">
        <v>134</v>
      </c>
      <c r="I130" s="3">
        <v>0</v>
      </c>
      <c r="J130" s="7">
        <v>0</v>
      </c>
    </row>
    <row r="131" spans="1:10" x14ac:dyDescent="0.3">
      <c r="A131" s="1">
        <v>129</v>
      </c>
      <c r="B131" s="1">
        <v>130</v>
      </c>
      <c r="C131" s="1" t="s">
        <v>411</v>
      </c>
      <c r="D131" s="1" t="s">
        <v>357</v>
      </c>
      <c r="E131" s="5">
        <v>2196009</v>
      </c>
      <c r="F131" s="7">
        <v>1.5</v>
      </c>
      <c r="G131" s="16">
        <v>63684275</v>
      </c>
      <c r="H131" s="1">
        <v>111</v>
      </c>
      <c r="I131" s="3">
        <v>10805028</v>
      </c>
      <c r="J131" s="7">
        <v>11</v>
      </c>
    </row>
    <row r="132" spans="1:10" x14ac:dyDescent="0.3">
      <c r="A132" s="1">
        <v>130</v>
      </c>
      <c r="B132" s="1">
        <v>145</v>
      </c>
      <c r="C132" s="1" t="s">
        <v>412</v>
      </c>
      <c r="D132" s="1" t="s">
        <v>397</v>
      </c>
      <c r="E132" s="5">
        <v>2195643</v>
      </c>
      <c r="F132" s="7">
        <v>7.8</v>
      </c>
      <c r="G132" s="16">
        <v>116369072</v>
      </c>
      <c r="H132" s="1">
        <v>27</v>
      </c>
      <c r="I132" s="3">
        <v>11529544</v>
      </c>
      <c r="J132" s="7">
        <v>-2</v>
      </c>
    </row>
    <row r="133" spans="1:10" x14ac:dyDescent="0.3">
      <c r="A133" s="1">
        <v>131</v>
      </c>
      <c r="B133" s="1" t="s">
        <v>597</v>
      </c>
      <c r="C133" s="1" t="s">
        <v>413</v>
      </c>
      <c r="D133" s="1" t="s">
        <v>275</v>
      </c>
      <c r="E133" s="5">
        <v>2186148</v>
      </c>
      <c r="F133" s="7">
        <v>0</v>
      </c>
      <c r="G133" s="16">
        <v>54653688</v>
      </c>
      <c r="H133" s="1">
        <v>145</v>
      </c>
      <c r="I133" s="3">
        <v>9759464</v>
      </c>
      <c r="J133" s="7">
        <v>-20</v>
      </c>
    </row>
    <row r="134" spans="1:10" x14ac:dyDescent="0.3">
      <c r="A134" s="1">
        <v>132</v>
      </c>
      <c r="B134" s="1">
        <v>105</v>
      </c>
      <c r="C134" s="1" t="s">
        <v>414</v>
      </c>
      <c r="D134" s="1" t="s">
        <v>397</v>
      </c>
      <c r="E134" s="5">
        <v>2171845</v>
      </c>
      <c r="F134" s="7">
        <v>-10.4</v>
      </c>
      <c r="G134" s="16">
        <v>115107799</v>
      </c>
      <c r="H134" s="1">
        <v>28</v>
      </c>
      <c r="I134" s="3">
        <v>9889256</v>
      </c>
      <c r="J134" s="7">
        <v>45</v>
      </c>
    </row>
    <row r="135" spans="1:10" x14ac:dyDescent="0.3">
      <c r="A135" s="1">
        <v>133</v>
      </c>
      <c r="B135" s="1">
        <v>152</v>
      </c>
      <c r="C135" s="1" t="s">
        <v>415</v>
      </c>
      <c r="D135" s="1" t="s">
        <v>397</v>
      </c>
      <c r="E135" s="5">
        <v>2155103</v>
      </c>
      <c r="F135" s="7">
        <v>7.5</v>
      </c>
      <c r="G135" s="16">
        <v>114220438</v>
      </c>
      <c r="H135" s="1">
        <v>29</v>
      </c>
      <c r="I135" s="3">
        <v>10318464</v>
      </c>
      <c r="J135" s="7">
        <v>-4</v>
      </c>
    </row>
    <row r="136" spans="1:10" x14ac:dyDescent="0.3">
      <c r="A136" s="1">
        <v>134</v>
      </c>
      <c r="B136" s="1">
        <v>132</v>
      </c>
      <c r="C136" s="1" t="s">
        <v>416</v>
      </c>
      <c r="D136" s="1" t="s">
        <v>397</v>
      </c>
      <c r="E136" s="5">
        <v>2153098</v>
      </c>
      <c r="F136" s="7">
        <v>0.3</v>
      </c>
      <c r="G136" s="16">
        <v>114114214</v>
      </c>
      <c r="H136" s="1">
        <v>30</v>
      </c>
      <c r="I136" s="3">
        <v>10799620</v>
      </c>
      <c r="J136" s="7">
        <v>35</v>
      </c>
    </row>
    <row r="137" spans="1:10" x14ac:dyDescent="0.3">
      <c r="A137" s="1">
        <v>135</v>
      </c>
      <c r="B137" s="1">
        <v>134</v>
      </c>
      <c r="C137" s="1" t="s">
        <v>417</v>
      </c>
      <c r="D137" s="1" t="s">
        <v>397</v>
      </c>
      <c r="E137" s="5">
        <v>2138436</v>
      </c>
      <c r="F137" s="7">
        <v>0.3</v>
      </c>
      <c r="G137" s="16">
        <v>113337103</v>
      </c>
      <c r="H137" s="1">
        <v>31</v>
      </c>
      <c r="I137" s="3">
        <v>10756408</v>
      </c>
      <c r="J137" s="7">
        <v>11</v>
      </c>
    </row>
    <row r="138" spans="1:10" x14ac:dyDescent="0.3">
      <c r="A138" s="1">
        <v>136</v>
      </c>
      <c r="B138" s="1">
        <v>141</v>
      </c>
      <c r="C138" s="1" t="s">
        <v>418</v>
      </c>
      <c r="D138" s="1" t="s">
        <v>280</v>
      </c>
      <c r="E138" s="5">
        <v>2113136</v>
      </c>
      <c r="F138" s="7">
        <v>0.9</v>
      </c>
      <c r="G138" s="16">
        <v>52828406</v>
      </c>
      <c r="H138" s="1">
        <v>150</v>
      </c>
      <c r="I138" s="3">
        <v>0</v>
      </c>
      <c r="J138" s="7">
        <v>0</v>
      </c>
    </row>
    <row r="139" spans="1:10" x14ac:dyDescent="0.3">
      <c r="A139" s="1">
        <v>137</v>
      </c>
      <c r="B139" s="1">
        <v>142</v>
      </c>
      <c r="C139" s="1" t="s">
        <v>419</v>
      </c>
      <c r="D139" s="1" t="s">
        <v>397</v>
      </c>
      <c r="E139" s="5">
        <v>2095226</v>
      </c>
      <c r="F139" s="7">
        <v>1</v>
      </c>
      <c r="G139" s="16">
        <v>111046989</v>
      </c>
      <c r="H139" s="1">
        <v>34</v>
      </c>
      <c r="I139" s="3">
        <v>11575980</v>
      </c>
      <c r="J139" s="7">
        <v>1</v>
      </c>
    </row>
    <row r="140" spans="1:10" x14ac:dyDescent="0.3">
      <c r="A140" s="1">
        <v>138</v>
      </c>
      <c r="B140" s="1">
        <v>157</v>
      </c>
      <c r="C140" s="1" t="s">
        <v>420</v>
      </c>
      <c r="D140" s="1" t="s">
        <v>397</v>
      </c>
      <c r="E140" s="5">
        <v>2090424</v>
      </c>
      <c r="F140" s="7">
        <v>9</v>
      </c>
      <c r="G140" s="16">
        <v>110792462</v>
      </c>
      <c r="H140" s="1">
        <v>35</v>
      </c>
      <c r="I140" s="3">
        <v>9324224</v>
      </c>
      <c r="J140" s="7">
        <v>18</v>
      </c>
    </row>
    <row r="141" spans="1:10" x14ac:dyDescent="0.3">
      <c r="A141" s="1">
        <v>139</v>
      </c>
      <c r="B141" s="1">
        <v>116</v>
      </c>
      <c r="C141" s="1" t="s">
        <v>421</v>
      </c>
      <c r="D141" s="1" t="s">
        <v>397</v>
      </c>
      <c r="E141" s="5">
        <v>2089848</v>
      </c>
      <c r="F141" s="7">
        <v>-8.3000000000000007</v>
      </c>
      <c r="G141" s="16">
        <v>110761966</v>
      </c>
      <c r="H141" s="1">
        <v>36</v>
      </c>
      <c r="I141" s="3">
        <v>10864984</v>
      </c>
      <c r="J141" s="7">
        <v>12</v>
      </c>
    </row>
    <row r="142" spans="1:10" x14ac:dyDescent="0.3">
      <c r="A142" s="1">
        <v>140</v>
      </c>
      <c r="B142" s="1">
        <v>106</v>
      </c>
      <c r="C142" s="1" t="s">
        <v>422</v>
      </c>
      <c r="D142" s="1" t="s">
        <v>397</v>
      </c>
      <c r="E142" s="5">
        <v>2083685</v>
      </c>
      <c r="F142" s="7">
        <v>-12.8</v>
      </c>
      <c r="G142" s="16">
        <v>110435293</v>
      </c>
      <c r="H142" s="1">
        <v>37</v>
      </c>
      <c r="I142" s="3">
        <v>11020516</v>
      </c>
      <c r="J142" s="7">
        <v>0</v>
      </c>
    </row>
    <row r="143" spans="1:10" x14ac:dyDescent="0.3">
      <c r="A143" s="1">
        <v>141</v>
      </c>
      <c r="B143" s="1">
        <v>175</v>
      </c>
      <c r="C143" s="1" t="s">
        <v>423</v>
      </c>
      <c r="D143" s="1" t="s">
        <v>275</v>
      </c>
      <c r="E143" s="5">
        <v>2063147</v>
      </c>
      <c r="F143" s="7">
        <v>32.700000000000003</v>
      </c>
      <c r="G143" s="16">
        <v>51578685</v>
      </c>
      <c r="H143" s="1">
        <v>151</v>
      </c>
      <c r="I143" s="3">
        <v>0</v>
      </c>
      <c r="J143" s="7">
        <v>0</v>
      </c>
    </row>
    <row r="144" spans="1:10" x14ac:dyDescent="0.3">
      <c r="A144" s="1">
        <v>142</v>
      </c>
      <c r="B144" s="1">
        <v>154</v>
      </c>
      <c r="C144" s="1" t="s">
        <v>424</v>
      </c>
      <c r="D144" s="1" t="s">
        <v>397</v>
      </c>
      <c r="E144" s="5">
        <v>2056137</v>
      </c>
      <c r="F144" s="7">
        <v>3.7</v>
      </c>
      <c r="G144" s="16">
        <v>108975238</v>
      </c>
      <c r="H144" s="1">
        <v>38</v>
      </c>
      <c r="I144" s="3">
        <v>10415444</v>
      </c>
      <c r="J144" s="7">
        <v>19</v>
      </c>
    </row>
    <row r="145" spans="1:10" x14ac:dyDescent="0.3">
      <c r="A145" s="1">
        <v>143</v>
      </c>
      <c r="B145" s="1">
        <v>176</v>
      </c>
      <c r="C145" s="1" t="s">
        <v>425</v>
      </c>
      <c r="D145" s="1" t="s">
        <v>397</v>
      </c>
      <c r="E145" s="5">
        <v>2043495</v>
      </c>
      <c r="F145" s="7">
        <v>32.6</v>
      </c>
      <c r="G145" s="16">
        <v>108305221</v>
      </c>
      <c r="H145" s="1">
        <v>39</v>
      </c>
      <c r="I145" s="3">
        <v>9814688</v>
      </c>
      <c r="J145" s="7">
        <v>27</v>
      </c>
    </row>
    <row r="146" spans="1:10" x14ac:dyDescent="0.3">
      <c r="A146" s="1">
        <v>144</v>
      </c>
      <c r="B146" s="1">
        <v>74</v>
      </c>
      <c r="C146" s="1" t="s">
        <v>426</v>
      </c>
      <c r="D146" s="1" t="s">
        <v>357</v>
      </c>
      <c r="E146" s="5">
        <v>2033000</v>
      </c>
      <c r="F146" s="7">
        <v>-28</v>
      </c>
      <c r="G146" s="16">
        <v>54891000</v>
      </c>
      <c r="H146" s="1">
        <v>144</v>
      </c>
      <c r="I146" s="3">
        <v>12128740</v>
      </c>
      <c r="J146" s="7">
        <v>-18</v>
      </c>
    </row>
    <row r="147" spans="1:10" x14ac:dyDescent="0.3">
      <c r="A147" s="1">
        <v>145</v>
      </c>
      <c r="B147" s="1">
        <v>119</v>
      </c>
      <c r="C147" s="1" t="s">
        <v>427</v>
      </c>
      <c r="D147" s="1" t="s">
        <v>397</v>
      </c>
      <c r="E147" s="5">
        <v>2032390</v>
      </c>
      <c r="F147" s="7">
        <v>-9.1999999999999993</v>
      </c>
      <c r="G147" s="16">
        <v>107716659</v>
      </c>
      <c r="H147" s="1">
        <v>41</v>
      </c>
      <c r="I147" s="3">
        <v>9632480</v>
      </c>
      <c r="J147" s="7">
        <v>13</v>
      </c>
    </row>
    <row r="148" spans="1:10" x14ac:dyDescent="0.3">
      <c r="A148" s="1">
        <v>146</v>
      </c>
      <c r="B148" s="1">
        <v>158</v>
      </c>
      <c r="C148" s="1" t="s">
        <v>428</v>
      </c>
      <c r="D148" s="1" t="s">
        <v>397</v>
      </c>
      <c r="E148" s="5">
        <v>2029308</v>
      </c>
      <c r="F148" s="7">
        <v>6.9</v>
      </c>
      <c r="G148" s="16">
        <v>107553299</v>
      </c>
      <c r="H148" s="1">
        <v>42</v>
      </c>
      <c r="I148" s="3">
        <v>10378004</v>
      </c>
      <c r="J148" s="7">
        <v>4</v>
      </c>
    </row>
    <row r="149" spans="1:10" x14ac:dyDescent="0.3">
      <c r="A149" s="1">
        <v>147</v>
      </c>
      <c r="B149" s="1" t="s">
        <v>597</v>
      </c>
      <c r="C149" s="1" t="s">
        <v>429</v>
      </c>
      <c r="D149" s="1" t="s">
        <v>275</v>
      </c>
      <c r="E149" s="5">
        <v>2021930</v>
      </c>
      <c r="F149" s="7">
        <v>0</v>
      </c>
      <c r="G149" s="16">
        <v>50548252</v>
      </c>
      <c r="H149" s="1">
        <v>152</v>
      </c>
      <c r="I149" s="3">
        <v>0</v>
      </c>
      <c r="J149" s="7">
        <v>0</v>
      </c>
    </row>
    <row r="150" spans="1:10" x14ac:dyDescent="0.3">
      <c r="A150" s="1">
        <v>148</v>
      </c>
      <c r="B150" s="1">
        <v>150</v>
      </c>
      <c r="C150" s="1" t="s">
        <v>430</v>
      </c>
      <c r="D150" s="1" t="s">
        <v>397</v>
      </c>
      <c r="E150" s="5">
        <v>1987919</v>
      </c>
      <c r="F150" s="7">
        <v>-1.1000000000000001</v>
      </c>
      <c r="G150" s="16">
        <v>105359681</v>
      </c>
      <c r="H150" s="1">
        <v>43</v>
      </c>
      <c r="I150" s="3">
        <v>10261524</v>
      </c>
      <c r="J150" s="7">
        <v>0</v>
      </c>
    </row>
    <row r="151" spans="1:10" x14ac:dyDescent="0.3">
      <c r="A151" s="1">
        <v>149</v>
      </c>
      <c r="B151" s="1">
        <v>161</v>
      </c>
      <c r="C151" s="1" t="s">
        <v>431</v>
      </c>
      <c r="D151" s="1" t="s">
        <v>397</v>
      </c>
      <c r="E151" s="5">
        <v>1946943</v>
      </c>
      <c r="F151" s="7">
        <v>5.2</v>
      </c>
      <c r="G151" s="16">
        <v>103187963</v>
      </c>
      <c r="H151" s="1">
        <v>46</v>
      </c>
      <c r="I151" s="3">
        <v>9308468</v>
      </c>
      <c r="J151" s="7">
        <v>30</v>
      </c>
    </row>
    <row r="152" spans="1:10" x14ac:dyDescent="0.3">
      <c r="A152" s="1">
        <v>150</v>
      </c>
      <c r="B152" s="1">
        <v>109</v>
      </c>
      <c r="C152" s="1" t="s">
        <v>432</v>
      </c>
      <c r="D152" s="1" t="s">
        <v>397</v>
      </c>
      <c r="E152" s="5">
        <v>1939243</v>
      </c>
      <c r="F152" s="7">
        <v>-18.2</v>
      </c>
      <c r="G152" s="16">
        <v>102779899</v>
      </c>
      <c r="H152" s="1">
        <v>47</v>
      </c>
      <c r="I152" s="3">
        <v>10763740</v>
      </c>
      <c r="J152" s="7">
        <v>23</v>
      </c>
    </row>
    <row r="153" spans="1:10" x14ac:dyDescent="0.3">
      <c r="A153" s="1">
        <v>151</v>
      </c>
      <c r="B153" s="1">
        <v>165</v>
      </c>
      <c r="C153" s="1" t="s">
        <v>433</v>
      </c>
      <c r="D153" s="1" t="s">
        <v>297</v>
      </c>
      <c r="E153" s="5">
        <v>1939105</v>
      </c>
      <c r="F153" s="7">
        <v>5.7</v>
      </c>
      <c r="G153" s="16">
        <v>50416720</v>
      </c>
      <c r="H153" s="1">
        <v>153</v>
      </c>
      <c r="I153" s="3">
        <v>8546408</v>
      </c>
      <c r="J153" s="7">
        <v>200</v>
      </c>
    </row>
    <row r="154" spans="1:10" x14ac:dyDescent="0.3">
      <c r="A154" s="1">
        <v>152</v>
      </c>
      <c r="B154" s="1">
        <v>138</v>
      </c>
      <c r="C154" s="1" t="s">
        <v>434</v>
      </c>
      <c r="D154" s="1" t="s">
        <v>397</v>
      </c>
      <c r="E154" s="5">
        <v>1932871</v>
      </c>
      <c r="F154" s="7">
        <v>-8.5</v>
      </c>
      <c r="G154" s="16">
        <v>102442174</v>
      </c>
      <c r="H154" s="1">
        <v>49</v>
      </c>
      <c r="I154" s="3">
        <v>10239164</v>
      </c>
      <c r="J154" s="7">
        <v>30</v>
      </c>
    </row>
    <row r="155" spans="1:10" x14ac:dyDescent="0.3">
      <c r="A155" s="1">
        <v>153</v>
      </c>
      <c r="B155" s="1">
        <v>174</v>
      </c>
      <c r="C155" s="1" t="s">
        <v>435</v>
      </c>
      <c r="D155" s="1" t="s">
        <v>275</v>
      </c>
      <c r="E155" s="5">
        <v>1930169</v>
      </c>
      <c r="F155" s="7">
        <v>22.8</v>
      </c>
      <c r="G155" s="16">
        <v>48254220</v>
      </c>
      <c r="H155" s="1">
        <v>155</v>
      </c>
      <c r="I155" s="3">
        <v>0</v>
      </c>
      <c r="J155" s="7">
        <v>0</v>
      </c>
    </row>
    <row r="156" spans="1:10" x14ac:dyDescent="0.3">
      <c r="A156" s="1">
        <v>154</v>
      </c>
      <c r="B156" s="1">
        <v>114</v>
      </c>
      <c r="C156" s="1" t="s">
        <v>436</v>
      </c>
      <c r="D156" s="1" t="s">
        <v>397</v>
      </c>
      <c r="E156" s="5">
        <v>1928775</v>
      </c>
      <c r="F156" s="7">
        <v>-16.100000000000001</v>
      </c>
      <c r="G156" s="16">
        <v>102225091</v>
      </c>
      <c r="H156" s="1">
        <v>50</v>
      </c>
      <c r="I156" s="3">
        <v>10147280</v>
      </c>
      <c r="J156" s="7">
        <v>20</v>
      </c>
    </row>
    <row r="157" spans="1:10" x14ac:dyDescent="0.3">
      <c r="A157" s="1">
        <v>155</v>
      </c>
      <c r="B157" s="1" t="s">
        <v>597</v>
      </c>
      <c r="C157" s="1" t="s">
        <v>437</v>
      </c>
      <c r="D157" s="1" t="s">
        <v>275</v>
      </c>
      <c r="E157" s="5">
        <v>1893656</v>
      </c>
      <c r="F157" s="7">
        <v>0</v>
      </c>
      <c r="G157" s="16">
        <v>47341388</v>
      </c>
      <c r="H157" s="1">
        <v>158</v>
      </c>
      <c r="I157" s="3">
        <v>0</v>
      </c>
      <c r="J157" s="7">
        <v>0</v>
      </c>
    </row>
    <row r="158" spans="1:10" x14ac:dyDescent="0.3">
      <c r="A158" s="1">
        <v>156</v>
      </c>
      <c r="B158" s="1">
        <v>156</v>
      </c>
      <c r="C158" s="1" t="s">
        <v>438</v>
      </c>
      <c r="D158" s="1" t="s">
        <v>397</v>
      </c>
      <c r="E158" s="5">
        <v>1875631</v>
      </c>
      <c r="F158" s="7">
        <v>-3.4</v>
      </c>
      <c r="G158" s="16">
        <v>99408451</v>
      </c>
      <c r="H158" s="1">
        <v>55</v>
      </c>
      <c r="I158" s="3">
        <v>11786164</v>
      </c>
      <c r="J158" s="7">
        <v>-32</v>
      </c>
    </row>
    <row r="159" spans="1:10" x14ac:dyDescent="0.3">
      <c r="A159" s="1">
        <v>157</v>
      </c>
      <c r="B159" s="1">
        <v>123</v>
      </c>
      <c r="C159" s="1" t="s">
        <v>439</v>
      </c>
      <c r="D159" s="1" t="s">
        <v>357</v>
      </c>
      <c r="E159" s="5">
        <v>1850206</v>
      </c>
      <c r="F159" s="7">
        <v>-16.2</v>
      </c>
      <c r="G159" s="16">
        <v>48105357</v>
      </c>
      <c r="H159" s="1">
        <v>156</v>
      </c>
      <c r="I159" s="3">
        <v>10283156</v>
      </c>
      <c r="J159" s="7">
        <v>-13</v>
      </c>
    </row>
    <row r="160" spans="1:10" x14ac:dyDescent="0.3">
      <c r="A160" s="1">
        <v>158</v>
      </c>
      <c r="B160" s="1">
        <v>140</v>
      </c>
      <c r="C160" s="1" t="s">
        <v>440</v>
      </c>
      <c r="D160" s="1" t="s">
        <v>397</v>
      </c>
      <c r="E160" s="5">
        <v>1842903</v>
      </c>
      <c r="F160" s="7">
        <v>-11.6</v>
      </c>
      <c r="G160" s="16">
        <v>97673836</v>
      </c>
      <c r="H160" s="1">
        <v>57</v>
      </c>
      <c r="I160" s="3">
        <v>10619232</v>
      </c>
      <c r="J160" s="7">
        <v>-5</v>
      </c>
    </row>
    <row r="161" spans="1:10" x14ac:dyDescent="0.3">
      <c r="A161" s="1">
        <v>159</v>
      </c>
      <c r="B161" s="1">
        <v>108</v>
      </c>
      <c r="C161" s="1" t="s">
        <v>441</v>
      </c>
      <c r="D161" s="1" t="s">
        <v>397</v>
      </c>
      <c r="E161" s="5">
        <v>1810373</v>
      </c>
      <c r="F161" s="7">
        <v>-23.8</v>
      </c>
      <c r="G161" s="16">
        <v>95949754</v>
      </c>
      <c r="H161" s="1">
        <v>58</v>
      </c>
      <c r="I161" s="3">
        <v>10934508</v>
      </c>
      <c r="J161" s="7">
        <v>-10</v>
      </c>
    </row>
    <row r="162" spans="1:10" x14ac:dyDescent="0.3">
      <c r="A162" s="1">
        <v>160</v>
      </c>
      <c r="B162" s="1">
        <v>151</v>
      </c>
      <c r="C162" s="1" t="s">
        <v>442</v>
      </c>
      <c r="D162" s="1" t="s">
        <v>397</v>
      </c>
      <c r="E162" s="5">
        <v>1801940</v>
      </c>
      <c r="F162" s="7">
        <v>-10.199999999999999</v>
      </c>
      <c r="G162" s="16">
        <v>95502828</v>
      </c>
      <c r="H162" s="1">
        <v>59</v>
      </c>
      <c r="I162" s="3">
        <v>9919884</v>
      </c>
      <c r="J162" s="7">
        <v>-9</v>
      </c>
    </row>
    <row r="163" spans="1:10" x14ac:dyDescent="0.3">
      <c r="A163" s="1">
        <v>161</v>
      </c>
      <c r="B163" s="1" t="s">
        <v>597</v>
      </c>
      <c r="C163" s="1" t="s">
        <v>443</v>
      </c>
      <c r="D163" s="1" t="s">
        <v>285</v>
      </c>
      <c r="E163" s="5">
        <v>1787974</v>
      </c>
      <c r="F163" s="7">
        <v>0</v>
      </c>
      <c r="G163" s="16">
        <v>44699360</v>
      </c>
      <c r="H163" s="1">
        <v>161</v>
      </c>
      <c r="I163" s="3">
        <v>0</v>
      </c>
      <c r="J163" s="7">
        <v>0</v>
      </c>
    </row>
    <row r="164" spans="1:10" x14ac:dyDescent="0.3">
      <c r="A164" s="1">
        <v>162</v>
      </c>
      <c r="B164" s="1">
        <v>144</v>
      </c>
      <c r="C164" s="1" t="s">
        <v>444</v>
      </c>
      <c r="D164" s="1" t="s">
        <v>397</v>
      </c>
      <c r="E164" s="5">
        <v>1784230</v>
      </c>
      <c r="F164" s="7">
        <v>-13.5</v>
      </c>
      <c r="G164" s="16">
        <v>94564171</v>
      </c>
      <c r="H164" s="1">
        <v>60</v>
      </c>
      <c r="I164" s="3">
        <v>10437700</v>
      </c>
      <c r="J164" s="7">
        <v>-19</v>
      </c>
    </row>
    <row r="165" spans="1:10" x14ac:dyDescent="0.3">
      <c r="A165" s="1">
        <v>163</v>
      </c>
      <c r="B165" s="1">
        <v>146</v>
      </c>
      <c r="C165" s="1" t="s">
        <v>445</v>
      </c>
      <c r="D165" s="1" t="s">
        <v>397</v>
      </c>
      <c r="E165" s="5">
        <v>1768309</v>
      </c>
      <c r="F165" s="7">
        <v>-13.1</v>
      </c>
      <c r="G165" s="16">
        <v>93720356</v>
      </c>
      <c r="H165" s="1">
        <v>61</v>
      </c>
      <c r="I165" s="3">
        <v>10345088</v>
      </c>
      <c r="J165" s="7">
        <v>-7</v>
      </c>
    </row>
    <row r="166" spans="1:10" x14ac:dyDescent="0.3">
      <c r="A166" s="1">
        <v>164</v>
      </c>
      <c r="B166" s="1">
        <v>163</v>
      </c>
      <c r="C166" s="1" t="s">
        <v>446</v>
      </c>
      <c r="D166" s="1" t="s">
        <v>280</v>
      </c>
      <c r="E166" s="5">
        <v>1760947</v>
      </c>
      <c r="F166" s="7">
        <v>-4.3</v>
      </c>
      <c r="G166" s="16">
        <v>44023672</v>
      </c>
      <c r="H166" s="1">
        <v>162</v>
      </c>
      <c r="I166" s="3">
        <v>0</v>
      </c>
      <c r="J166" s="7">
        <v>0</v>
      </c>
    </row>
    <row r="167" spans="1:10" x14ac:dyDescent="0.3">
      <c r="A167" s="1">
        <v>165</v>
      </c>
      <c r="B167" s="1">
        <v>160</v>
      </c>
      <c r="C167" s="1" t="s">
        <v>447</v>
      </c>
      <c r="D167" s="1" t="s">
        <v>357</v>
      </c>
      <c r="E167" s="5">
        <v>1755500</v>
      </c>
      <c r="F167" s="7">
        <v>-6.2</v>
      </c>
      <c r="G167" s="16">
        <v>43887500</v>
      </c>
      <c r="H167" s="1">
        <v>163</v>
      </c>
      <c r="I167" s="3">
        <v>7706712</v>
      </c>
      <c r="J167" s="7">
        <v>26</v>
      </c>
    </row>
    <row r="168" spans="1:10" x14ac:dyDescent="0.3">
      <c r="A168" s="1">
        <v>166</v>
      </c>
      <c r="B168" s="1">
        <v>168</v>
      </c>
      <c r="C168" s="1" t="s">
        <v>448</v>
      </c>
      <c r="D168" s="1" t="s">
        <v>275</v>
      </c>
      <c r="E168" s="5">
        <v>1754850</v>
      </c>
      <c r="F168" s="7">
        <v>2.8</v>
      </c>
      <c r="G168" s="16">
        <v>43871260</v>
      </c>
      <c r="H168" s="1">
        <v>164</v>
      </c>
      <c r="I168" s="3">
        <v>8810204</v>
      </c>
      <c r="J168" s="7">
        <v>6</v>
      </c>
    </row>
    <row r="169" spans="1:10" x14ac:dyDescent="0.3">
      <c r="A169" s="1">
        <v>167</v>
      </c>
      <c r="B169" s="1">
        <v>169</v>
      </c>
      <c r="C169" s="1" t="s">
        <v>449</v>
      </c>
      <c r="D169" s="1" t="s">
        <v>450</v>
      </c>
      <c r="E169" s="5">
        <v>1746198</v>
      </c>
      <c r="F169" s="7">
        <v>2.7</v>
      </c>
      <c r="G169" s="16">
        <v>43654958</v>
      </c>
      <c r="H169" s="1">
        <v>165</v>
      </c>
      <c r="I169" s="3">
        <v>8201804</v>
      </c>
      <c r="J169" s="7">
        <v>26</v>
      </c>
    </row>
    <row r="170" spans="1:10" x14ac:dyDescent="0.3">
      <c r="A170" s="1">
        <v>168</v>
      </c>
      <c r="B170" s="1">
        <v>148</v>
      </c>
      <c r="C170" s="1" t="s">
        <v>451</v>
      </c>
      <c r="D170" s="1" t="s">
        <v>285</v>
      </c>
      <c r="E170" s="5">
        <v>1741196</v>
      </c>
      <c r="F170" s="7">
        <v>-14.1</v>
      </c>
      <c r="G170" s="16">
        <v>43529900</v>
      </c>
      <c r="H170" s="1">
        <v>166</v>
      </c>
      <c r="I170" s="3">
        <v>0</v>
      </c>
      <c r="J170" s="7">
        <v>0</v>
      </c>
    </row>
    <row r="171" spans="1:10" x14ac:dyDescent="0.3">
      <c r="A171" s="1">
        <v>169</v>
      </c>
      <c r="B171" s="1">
        <v>179</v>
      </c>
      <c r="C171" s="1" t="s">
        <v>452</v>
      </c>
      <c r="D171" s="1" t="s">
        <v>285</v>
      </c>
      <c r="E171" s="5">
        <v>1724204</v>
      </c>
      <c r="F171" s="7">
        <v>16.8</v>
      </c>
      <c r="G171" s="16">
        <v>44829300</v>
      </c>
      <c r="H171" s="1">
        <v>160</v>
      </c>
      <c r="I171" s="3">
        <v>0</v>
      </c>
      <c r="J171" s="7">
        <v>0</v>
      </c>
    </row>
    <row r="172" spans="1:10" x14ac:dyDescent="0.3">
      <c r="A172" s="1">
        <v>170</v>
      </c>
      <c r="B172" s="1">
        <v>94</v>
      </c>
      <c r="C172" s="1" t="s">
        <v>453</v>
      </c>
      <c r="D172" s="1" t="s">
        <v>304</v>
      </c>
      <c r="E172" s="5">
        <v>1716406</v>
      </c>
      <c r="F172" s="7">
        <v>-33.1</v>
      </c>
      <c r="G172" s="16">
        <v>4225000</v>
      </c>
      <c r="H172" s="1">
        <v>268</v>
      </c>
      <c r="I172" s="3">
        <v>12071384</v>
      </c>
      <c r="J172" s="7">
        <v>-28</v>
      </c>
    </row>
    <row r="173" spans="1:10" x14ac:dyDescent="0.3">
      <c r="A173" s="1">
        <v>171</v>
      </c>
      <c r="B173" s="1">
        <v>170</v>
      </c>
      <c r="C173" s="1" t="s">
        <v>454</v>
      </c>
      <c r="D173" s="1" t="s">
        <v>285</v>
      </c>
      <c r="E173" s="5">
        <v>1715208</v>
      </c>
      <c r="F173" s="7">
        <v>2.4</v>
      </c>
      <c r="G173" s="16">
        <v>42880200</v>
      </c>
      <c r="H173" s="1">
        <v>168</v>
      </c>
      <c r="I173" s="3">
        <v>0</v>
      </c>
      <c r="J173" s="7">
        <v>0</v>
      </c>
    </row>
    <row r="174" spans="1:10" x14ac:dyDescent="0.3">
      <c r="A174" s="1">
        <v>172</v>
      </c>
      <c r="B174" s="1">
        <v>181</v>
      </c>
      <c r="C174" s="1" t="s">
        <v>455</v>
      </c>
      <c r="D174" s="1" t="s">
        <v>280</v>
      </c>
      <c r="E174" s="5">
        <v>1704813</v>
      </c>
      <c r="F174" s="7">
        <v>20.5</v>
      </c>
      <c r="G174" s="16">
        <v>42620320</v>
      </c>
      <c r="H174" s="1">
        <v>169</v>
      </c>
      <c r="I174" s="3">
        <v>0</v>
      </c>
      <c r="J174" s="7">
        <v>0</v>
      </c>
    </row>
    <row r="175" spans="1:10" x14ac:dyDescent="0.3">
      <c r="A175" s="1">
        <v>173</v>
      </c>
      <c r="B175" s="1">
        <v>143</v>
      </c>
      <c r="C175" s="1" t="s">
        <v>456</v>
      </c>
      <c r="D175" s="1" t="s">
        <v>397</v>
      </c>
      <c r="E175" s="5">
        <v>1690263</v>
      </c>
      <c r="F175" s="7">
        <v>-18.3</v>
      </c>
      <c r="G175" s="16">
        <v>89583962</v>
      </c>
      <c r="H175" s="1">
        <v>64</v>
      </c>
      <c r="I175" s="3">
        <v>10575656</v>
      </c>
      <c r="J175" s="7">
        <v>-16</v>
      </c>
    </row>
    <row r="176" spans="1:10" x14ac:dyDescent="0.3">
      <c r="A176" s="1">
        <v>174</v>
      </c>
      <c r="B176" s="1">
        <v>205</v>
      </c>
      <c r="C176" s="1" t="s">
        <v>457</v>
      </c>
      <c r="D176" s="1" t="s">
        <v>277</v>
      </c>
      <c r="E176" s="5">
        <v>1606636</v>
      </c>
      <c r="F176" s="7">
        <v>96.6</v>
      </c>
      <c r="G176" s="16">
        <v>44985800</v>
      </c>
      <c r="H176" s="1">
        <v>159</v>
      </c>
      <c r="I176" s="3">
        <v>10658908</v>
      </c>
      <c r="J176" s="7">
        <v>-54</v>
      </c>
    </row>
    <row r="177" spans="1:10" x14ac:dyDescent="0.3">
      <c r="A177" s="1">
        <v>175</v>
      </c>
      <c r="B177" s="1">
        <v>120</v>
      </c>
      <c r="C177" s="1" t="s">
        <v>458</v>
      </c>
      <c r="D177" s="1" t="s">
        <v>397</v>
      </c>
      <c r="E177" s="5">
        <v>1576899</v>
      </c>
      <c r="F177" s="7">
        <v>-29.1</v>
      </c>
      <c r="G177" s="16">
        <v>83575663</v>
      </c>
      <c r="H177" s="1">
        <v>71</v>
      </c>
      <c r="I177" s="3">
        <v>9561760</v>
      </c>
      <c r="J177" s="7">
        <v>-16</v>
      </c>
    </row>
    <row r="178" spans="1:10" x14ac:dyDescent="0.3">
      <c r="A178" s="1">
        <v>176</v>
      </c>
      <c r="B178" s="1">
        <v>185</v>
      </c>
      <c r="C178" s="1" t="s">
        <v>459</v>
      </c>
      <c r="D178" s="1" t="s">
        <v>277</v>
      </c>
      <c r="E178" s="5">
        <v>1549515</v>
      </c>
      <c r="F178" s="7">
        <v>36.4</v>
      </c>
      <c r="G178" s="16">
        <v>41836900</v>
      </c>
      <c r="H178" s="1">
        <v>170</v>
      </c>
      <c r="I178" s="3">
        <v>10576540</v>
      </c>
      <c r="J178" s="7">
        <v>17</v>
      </c>
    </row>
    <row r="179" spans="1:10" x14ac:dyDescent="0.3">
      <c r="A179" s="1">
        <v>177</v>
      </c>
      <c r="B179" s="1" t="s">
        <v>597</v>
      </c>
      <c r="C179" s="1" t="s">
        <v>460</v>
      </c>
      <c r="D179" s="1" t="s">
        <v>297</v>
      </c>
      <c r="E179" s="5">
        <v>1434153</v>
      </c>
      <c r="F179" s="7">
        <v>0</v>
      </c>
      <c r="G179" s="16">
        <v>38722120</v>
      </c>
      <c r="H179" s="1">
        <v>171</v>
      </c>
      <c r="I179" s="3">
        <v>4812236</v>
      </c>
      <c r="J179" s="7">
        <v>150</v>
      </c>
    </row>
    <row r="180" spans="1:10" x14ac:dyDescent="0.3">
      <c r="A180" s="1">
        <v>178</v>
      </c>
      <c r="B180" s="1" t="s">
        <v>597</v>
      </c>
      <c r="C180" s="1" t="s">
        <v>461</v>
      </c>
      <c r="D180" s="1" t="s">
        <v>462</v>
      </c>
      <c r="E180" s="5">
        <v>1432353</v>
      </c>
      <c r="F180" s="7">
        <v>0</v>
      </c>
      <c r="G180" s="16">
        <v>48700000</v>
      </c>
      <c r="H180" s="1">
        <v>154</v>
      </c>
      <c r="I180" s="3">
        <v>0</v>
      </c>
      <c r="J180" s="7">
        <v>0</v>
      </c>
    </row>
    <row r="181" spans="1:10" x14ac:dyDescent="0.3">
      <c r="A181" s="1">
        <v>179</v>
      </c>
      <c r="B181" s="1">
        <v>167</v>
      </c>
      <c r="C181" s="1" t="s">
        <v>463</v>
      </c>
      <c r="D181" s="1" t="s">
        <v>297</v>
      </c>
      <c r="E181" s="5">
        <v>1341166</v>
      </c>
      <c r="F181" s="7">
        <v>-24.9</v>
      </c>
      <c r="G181" s="16">
        <v>37552660</v>
      </c>
      <c r="H181" s="1">
        <v>172</v>
      </c>
      <c r="I181" s="3">
        <v>7358208</v>
      </c>
      <c r="J181" s="7">
        <v>36</v>
      </c>
    </row>
    <row r="182" spans="1:10" x14ac:dyDescent="0.3">
      <c r="A182" s="1">
        <v>180</v>
      </c>
      <c r="B182" s="1">
        <v>187</v>
      </c>
      <c r="C182" s="1" t="s">
        <v>464</v>
      </c>
      <c r="D182" s="1" t="s">
        <v>285</v>
      </c>
      <c r="E182" s="5">
        <v>1247424</v>
      </c>
      <c r="F182" s="7">
        <v>10.199999999999999</v>
      </c>
      <c r="G182" s="16">
        <v>31185600</v>
      </c>
      <c r="H182" s="1">
        <v>175</v>
      </c>
      <c r="I182" s="3">
        <v>0</v>
      </c>
      <c r="J182" s="7">
        <v>0</v>
      </c>
    </row>
    <row r="183" spans="1:10" x14ac:dyDescent="0.3">
      <c r="A183" s="1">
        <v>181</v>
      </c>
      <c r="B183" s="1">
        <v>180</v>
      </c>
      <c r="C183" s="1" t="s">
        <v>465</v>
      </c>
      <c r="D183" s="1" t="s">
        <v>285</v>
      </c>
      <c r="E183" s="5">
        <v>1237484</v>
      </c>
      <c r="F183" s="7">
        <v>-13.5</v>
      </c>
      <c r="G183" s="16">
        <v>30937100</v>
      </c>
      <c r="H183" s="1">
        <v>176</v>
      </c>
      <c r="I183" s="3">
        <v>0</v>
      </c>
      <c r="J183" s="7">
        <v>0</v>
      </c>
    </row>
    <row r="184" spans="1:10" x14ac:dyDescent="0.3">
      <c r="A184" s="1">
        <v>182</v>
      </c>
      <c r="B184" s="1">
        <v>173</v>
      </c>
      <c r="C184" s="1" t="s">
        <v>466</v>
      </c>
      <c r="D184" s="1" t="s">
        <v>397</v>
      </c>
      <c r="E184" s="5">
        <v>1178657</v>
      </c>
      <c r="F184" s="7">
        <v>-26.1</v>
      </c>
      <c r="G184" s="16">
        <v>62468795</v>
      </c>
      <c r="H184" s="1">
        <v>117</v>
      </c>
      <c r="I184" s="3">
        <v>10726976</v>
      </c>
      <c r="J184" s="7">
        <v>-54</v>
      </c>
    </row>
    <row r="185" spans="1:10" x14ac:dyDescent="0.3">
      <c r="A185" s="1">
        <v>183</v>
      </c>
      <c r="B185" s="1">
        <v>183</v>
      </c>
      <c r="C185" s="1" t="s">
        <v>467</v>
      </c>
      <c r="D185" s="1" t="s">
        <v>468</v>
      </c>
      <c r="E185" s="5">
        <v>1178036</v>
      </c>
      <c r="F185" s="7">
        <v>-8.4</v>
      </c>
      <c r="G185" s="16">
        <v>31806977</v>
      </c>
      <c r="H185" s="1">
        <v>174</v>
      </c>
      <c r="I185" s="3">
        <v>6354816</v>
      </c>
      <c r="J185" s="7">
        <v>-25</v>
      </c>
    </row>
    <row r="186" spans="1:10" x14ac:dyDescent="0.3">
      <c r="A186" s="1">
        <v>184</v>
      </c>
      <c r="B186" s="1">
        <v>182</v>
      </c>
      <c r="C186" s="1" t="s">
        <v>469</v>
      </c>
      <c r="D186" s="1" t="s">
        <v>280</v>
      </c>
      <c r="E186" s="5">
        <v>1157194</v>
      </c>
      <c r="F186" s="7">
        <v>-16.8</v>
      </c>
      <c r="G186" s="16">
        <v>28929842</v>
      </c>
      <c r="H186" s="1">
        <v>179</v>
      </c>
      <c r="I186" s="3">
        <v>0</v>
      </c>
      <c r="J186" s="7">
        <v>0</v>
      </c>
    </row>
    <row r="187" spans="1:10" x14ac:dyDescent="0.3">
      <c r="A187" s="1">
        <v>185</v>
      </c>
      <c r="B187" s="1">
        <v>204</v>
      </c>
      <c r="C187" s="1" t="s">
        <v>470</v>
      </c>
      <c r="D187" s="1" t="s">
        <v>280</v>
      </c>
      <c r="E187" s="5">
        <v>1157194</v>
      </c>
      <c r="F187" s="7">
        <v>34.299999999999997</v>
      </c>
      <c r="G187" s="16">
        <v>28929842</v>
      </c>
      <c r="H187" s="1">
        <v>180</v>
      </c>
      <c r="I187" s="3">
        <v>0</v>
      </c>
      <c r="J187" s="7">
        <v>0</v>
      </c>
    </row>
    <row r="188" spans="1:10" x14ac:dyDescent="0.3">
      <c r="A188" s="1">
        <v>186</v>
      </c>
      <c r="B188" s="1">
        <v>184</v>
      </c>
      <c r="C188" s="1" t="s">
        <v>471</v>
      </c>
      <c r="D188" s="1" t="s">
        <v>297</v>
      </c>
      <c r="E188" s="5">
        <v>1126147</v>
      </c>
      <c r="F188" s="7">
        <v>-5.7</v>
      </c>
      <c r="G188" s="16">
        <v>30405960</v>
      </c>
      <c r="H188" s="1">
        <v>178</v>
      </c>
      <c r="I188" s="3">
        <v>5857488</v>
      </c>
      <c r="J188" s="7">
        <v>53</v>
      </c>
    </row>
    <row r="189" spans="1:10" x14ac:dyDescent="0.3">
      <c r="A189" s="1">
        <v>187</v>
      </c>
      <c r="B189" s="1">
        <v>159</v>
      </c>
      <c r="C189" s="1" t="s">
        <v>472</v>
      </c>
      <c r="D189" s="1" t="s">
        <v>397</v>
      </c>
      <c r="E189" s="5">
        <v>1123249</v>
      </c>
      <c r="F189" s="7">
        <v>-40.6</v>
      </c>
      <c r="G189" s="16">
        <v>59532174</v>
      </c>
      <c r="H189" s="1">
        <v>133</v>
      </c>
      <c r="I189" s="3">
        <v>9461972</v>
      </c>
      <c r="J189" s="7">
        <v>-48</v>
      </c>
    </row>
    <row r="190" spans="1:10" x14ac:dyDescent="0.3">
      <c r="A190" s="1">
        <v>188</v>
      </c>
      <c r="B190" s="1">
        <v>188</v>
      </c>
      <c r="C190" s="1" t="s">
        <v>473</v>
      </c>
      <c r="D190" s="1" t="s">
        <v>297</v>
      </c>
      <c r="E190" s="5">
        <v>1118272</v>
      </c>
      <c r="F190" s="7">
        <v>-1.1000000000000001</v>
      </c>
      <c r="G190" s="16">
        <v>36902960</v>
      </c>
      <c r="H190" s="1">
        <v>173</v>
      </c>
      <c r="I190" s="3">
        <v>0</v>
      </c>
      <c r="J190" s="7">
        <v>0</v>
      </c>
    </row>
    <row r="191" spans="1:10" x14ac:dyDescent="0.3">
      <c r="A191" s="1">
        <v>189</v>
      </c>
      <c r="B191" s="1">
        <v>198</v>
      </c>
      <c r="C191" s="1" t="s">
        <v>474</v>
      </c>
      <c r="D191" s="1" t="s">
        <v>280</v>
      </c>
      <c r="E191" s="5">
        <v>1106881</v>
      </c>
      <c r="F191" s="7">
        <v>18.8</v>
      </c>
      <c r="G191" s="16">
        <v>27672022</v>
      </c>
      <c r="H191" s="1">
        <v>182</v>
      </c>
      <c r="I191" s="3">
        <v>0</v>
      </c>
      <c r="J191" s="7">
        <v>0</v>
      </c>
    </row>
    <row r="192" spans="1:10" x14ac:dyDescent="0.3">
      <c r="A192" s="1">
        <v>190</v>
      </c>
      <c r="B192" s="1">
        <v>196</v>
      </c>
      <c r="C192" s="1" t="s">
        <v>475</v>
      </c>
      <c r="D192" s="1" t="s">
        <v>297</v>
      </c>
      <c r="E192" s="5">
        <v>1099849</v>
      </c>
      <c r="F192" s="7">
        <v>13.9</v>
      </c>
      <c r="G192" s="16">
        <v>30795780</v>
      </c>
      <c r="H192" s="1">
        <v>177</v>
      </c>
      <c r="I192" s="3">
        <v>0</v>
      </c>
      <c r="J192" s="7">
        <v>251</v>
      </c>
    </row>
    <row r="193" spans="1:10" x14ac:dyDescent="0.3">
      <c r="A193" s="1">
        <v>191</v>
      </c>
      <c r="B193" s="1">
        <v>194</v>
      </c>
      <c r="C193" s="1" t="s">
        <v>476</v>
      </c>
      <c r="D193" s="1" t="s">
        <v>297</v>
      </c>
      <c r="E193" s="5">
        <v>1059511</v>
      </c>
      <c r="F193" s="7">
        <v>6.3</v>
      </c>
      <c r="G193" s="16">
        <v>27547280</v>
      </c>
      <c r="H193" s="1">
        <v>184</v>
      </c>
      <c r="I193" s="3">
        <v>4285684</v>
      </c>
      <c r="J193" s="7">
        <v>221</v>
      </c>
    </row>
    <row r="194" spans="1:10" x14ac:dyDescent="0.3">
      <c r="A194" s="1">
        <v>192</v>
      </c>
      <c r="B194" s="1">
        <v>189</v>
      </c>
      <c r="C194" s="1" t="s">
        <v>477</v>
      </c>
      <c r="D194" s="1" t="s">
        <v>280</v>
      </c>
      <c r="E194" s="5">
        <v>1056568</v>
      </c>
      <c r="F194" s="7">
        <v>-1.8</v>
      </c>
      <c r="G194" s="16">
        <v>26414203</v>
      </c>
      <c r="H194" s="1">
        <v>185</v>
      </c>
      <c r="I194" s="3">
        <v>0</v>
      </c>
      <c r="J194" s="7">
        <v>0</v>
      </c>
    </row>
    <row r="195" spans="1:10" x14ac:dyDescent="0.3">
      <c r="A195" s="1">
        <v>193</v>
      </c>
      <c r="B195" s="1">
        <v>200</v>
      </c>
      <c r="C195" s="1" t="s">
        <v>478</v>
      </c>
      <c r="D195" s="1" t="s">
        <v>280</v>
      </c>
      <c r="E195" s="5">
        <v>1006255</v>
      </c>
      <c r="F195" s="7">
        <v>9.1</v>
      </c>
      <c r="G195" s="16">
        <v>25156384</v>
      </c>
      <c r="H195" s="1">
        <v>187</v>
      </c>
      <c r="I195" s="3">
        <v>0</v>
      </c>
      <c r="J195" s="7">
        <v>0</v>
      </c>
    </row>
    <row r="196" spans="1:10" x14ac:dyDescent="0.3">
      <c r="A196" s="1">
        <v>194</v>
      </c>
      <c r="B196" s="1">
        <v>192</v>
      </c>
      <c r="C196" s="1" t="s">
        <v>479</v>
      </c>
      <c r="D196" s="1" t="s">
        <v>297</v>
      </c>
      <c r="E196" s="5">
        <v>983831</v>
      </c>
      <c r="F196" s="7">
        <v>-3.4</v>
      </c>
      <c r="G196" s="16">
        <v>27547280</v>
      </c>
      <c r="H196" s="1">
        <v>183</v>
      </c>
      <c r="I196" s="3">
        <v>3421496</v>
      </c>
      <c r="J196" s="7">
        <v>120</v>
      </c>
    </row>
    <row r="197" spans="1:10" x14ac:dyDescent="0.3">
      <c r="A197" s="1">
        <v>195</v>
      </c>
      <c r="B197" s="1" t="s">
        <v>597</v>
      </c>
      <c r="C197" s="1" t="s">
        <v>480</v>
      </c>
      <c r="D197" s="1" t="s">
        <v>297</v>
      </c>
      <c r="E197" s="5">
        <v>952893</v>
      </c>
      <c r="F197" s="7">
        <v>0</v>
      </c>
      <c r="G197" s="16">
        <v>28586800</v>
      </c>
      <c r="H197" s="1">
        <v>181</v>
      </c>
      <c r="I197" s="3">
        <v>0</v>
      </c>
      <c r="J197" s="7">
        <v>0</v>
      </c>
    </row>
    <row r="198" spans="1:10" x14ac:dyDescent="0.3">
      <c r="A198" s="1">
        <v>196</v>
      </c>
      <c r="B198" s="1">
        <v>201</v>
      </c>
      <c r="C198" s="1" t="s">
        <v>481</v>
      </c>
      <c r="D198" s="1" t="s">
        <v>285</v>
      </c>
      <c r="E198" s="5">
        <v>935568</v>
      </c>
      <c r="F198" s="7">
        <v>5.5</v>
      </c>
      <c r="G198" s="16">
        <v>23389200</v>
      </c>
      <c r="H198" s="1">
        <v>189</v>
      </c>
      <c r="I198" s="3">
        <v>0</v>
      </c>
      <c r="J198" s="7">
        <v>0</v>
      </c>
    </row>
    <row r="199" spans="1:10" x14ac:dyDescent="0.3">
      <c r="A199" s="1">
        <v>197</v>
      </c>
      <c r="B199" s="1">
        <v>203</v>
      </c>
      <c r="C199" s="1" t="s">
        <v>482</v>
      </c>
      <c r="D199" s="1" t="s">
        <v>285</v>
      </c>
      <c r="E199" s="5">
        <v>883592</v>
      </c>
      <c r="F199" s="7">
        <v>2.6</v>
      </c>
      <c r="G199" s="16">
        <v>22089800</v>
      </c>
      <c r="H199" s="1">
        <v>192</v>
      </c>
      <c r="I199" s="3">
        <v>0</v>
      </c>
      <c r="J199" s="7">
        <v>0</v>
      </c>
    </row>
    <row r="200" spans="1:10" x14ac:dyDescent="0.3">
      <c r="A200" s="1">
        <v>198</v>
      </c>
      <c r="B200" s="1">
        <v>208</v>
      </c>
      <c r="C200" s="1" t="s">
        <v>483</v>
      </c>
      <c r="D200" s="1" t="s">
        <v>280</v>
      </c>
      <c r="E200" s="5">
        <v>875442</v>
      </c>
      <c r="F200" s="7">
        <v>18.3</v>
      </c>
      <c r="G200" s="16">
        <v>21886054</v>
      </c>
      <c r="H200" s="1">
        <v>193</v>
      </c>
      <c r="I200" s="3">
        <v>0</v>
      </c>
      <c r="J200" s="7">
        <v>0</v>
      </c>
    </row>
    <row r="201" spans="1:10" x14ac:dyDescent="0.3">
      <c r="A201" s="1">
        <v>199</v>
      </c>
      <c r="B201" s="1" t="s">
        <v>597</v>
      </c>
      <c r="C201" s="1" t="s">
        <v>484</v>
      </c>
      <c r="D201" s="1" t="s">
        <v>285</v>
      </c>
      <c r="E201" s="5">
        <v>850182</v>
      </c>
      <c r="F201" s="7">
        <v>0</v>
      </c>
      <c r="G201" s="16">
        <v>21254546</v>
      </c>
      <c r="H201" s="1">
        <v>194</v>
      </c>
      <c r="I201" s="3">
        <v>0</v>
      </c>
      <c r="J201" s="7">
        <v>0</v>
      </c>
    </row>
    <row r="202" spans="1:10" x14ac:dyDescent="0.3">
      <c r="A202" s="1">
        <v>200</v>
      </c>
      <c r="B202" s="1">
        <v>195</v>
      </c>
      <c r="C202" s="1" t="s">
        <v>485</v>
      </c>
      <c r="D202" s="1" t="s">
        <v>468</v>
      </c>
      <c r="E202" s="5">
        <v>820198</v>
      </c>
      <c r="F202" s="7">
        <v>-14.8</v>
      </c>
      <c r="G202" s="16">
        <v>22145349</v>
      </c>
      <c r="H202" s="1">
        <v>191</v>
      </c>
      <c r="I202" s="3">
        <v>4716868</v>
      </c>
      <c r="J202" s="7">
        <v>-18</v>
      </c>
    </row>
    <row r="203" spans="1:10" x14ac:dyDescent="0.3">
      <c r="A203" s="1">
        <v>201</v>
      </c>
      <c r="B203" s="1">
        <v>193</v>
      </c>
      <c r="C203" s="1" t="s">
        <v>486</v>
      </c>
      <c r="D203" s="1" t="s">
        <v>297</v>
      </c>
      <c r="E203" s="5">
        <v>818622</v>
      </c>
      <c r="F203" s="7">
        <v>-19.600000000000001</v>
      </c>
      <c r="G203" s="16">
        <v>24558660</v>
      </c>
      <c r="H203" s="1">
        <v>188</v>
      </c>
      <c r="I203" s="3">
        <v>3261752</v>
      </c>
      <c r="J203" s="7">
        <v>111</v>
      </c>
    </row>
    <row r="204" spans="1:10" x14ac:dyDescent="0.3">
      <c r="A204" s="1">
        <v>202</v>
      </c>
      <c r="B204" s="1">
        <v>202</v>
      </c>
      <c r="C204" s="1" t="s">
        <v>487</v>
      </c>
      <c r="D204" s="1" t="s">
        <v>297</v>
      </c>
      <c r="E204" s="5">
        <v>806524</v>
      </c>
      <c r="F204" s="7">
        <v>-9.1</v>
      </c>
      <c r="G204" s="16">
        <v>23389200</v>
      </c>
      <c r="H204" s="1">
        <v>190</v>
      </c>
      <c r="I204" s="3">
        <v>4268472</v>
      </c>
      <c r="J204" s="7">
        <v>99</v>
      </c>
    </row>
    <row r="205" spans="1:10" x14ac:dyDescent="0.3">
      <c r="A205" s="1">
        <v>203</v>
      </c>
      <c r="B205" s="1" t="s">
        <v>597</v>
      </c>
      <c r="C205" s="1" t="s">
        <v>488</v>
      </c>
      <c r="D205" s="1" t="s">
        <v>285</v>
      </c>
      <c r="E205" s="5">
        <v>805628</v>
      </c>
      <c r="F205" s="7">
        <v>0</v>
      </c>
      <c r="G205" s="16">
        <v>20140700</v>
      </c>
      <c r="H205" s="1">
        <v>198</v>
      </c>
      <c r="I205" s="3">
        <v>0</v>
      </c>
      <c r="J205" s="7">
        <v>0</v>
      </c>
    </row>
    <row r="206" spans="1:10" x14ac:dyDescent="0.3">
      <c r="A206" s="1">
        <v>204</v>
      </c>
      <c r="B206" s="1">
        <v>191</v>
      </c>
      <c r="C206" s="1" t="s">
        <v>489</v>
      </c>
      <c r="D206" s="1" t="s">
        <v>297</v>
      </c>
      <c r="E206" s="5">
        <v>794633</v>
      </c>
      <c r="F206" s="7">
        <v>-23.1</v>
      </c>
      <c r="G206" s="16">
        <v>20660460</v>
      </c>
      <c r="H206" s="1">
        <v>195</v>
      </c>
      <c r="I206" s="3">
        <v>4170868</v>
      </c>
      <c r="J206" s="7">
        <v>246</v>
      </c>
    </row>
    <row r="207" spans="1:10" x14ac:dyDescent="0.3">
      <c r="A207" s="1">
        <v>205</v>
      </c>
      <c r="B207" s="1" t="s">
        <v>597</v>
      </c>
      <c r="C207" s="1" t="s">
        <v>490</v>
      </c>
      <c r="D207" s="1" t="s">
        <v>462</v>
      </c>
      <c r="E207" s="5">
        <v>770588</v>
      </c>
      <c r="F207" s="7">
        <v>0</v>
      </c>
      <c r="G207" s="16">
        <v>26200000</v>
      </c>
      <c r="H207" s="1">
        <v>186</v>
      </c>
      <c r="I207" s="3">
        <v>0</v>
      </c>
      <c r="J207" s="7">
        <v>0</v>
      </c>
    </row>
    <row r="208" spans="1:10" x14ac:dyDescent="0.3">
      <c r="A208" s="1">
        <v>206</v>
      </c>
      <c r="B208" s="1">
        <v>207</v>
      </c>
      <c r="C208" s="1" t="s">
        <v>491</v>
      </c>
      <c r="D208" s="1" t="s">
        <v>280</v>
      </c>
      <c r="E208" s="5">
        <v>754692</v>
      </c>
      <c r="F208" s="7">
        <v>-2.9</v>
      </c>
      <c r="G208" s="16">
        <v>18867288</v>
      </c>
      <c r="H208" s="1">
        <v>200</v>
      </c>
      <c r="I208" s="3">
        <v>0</v>
      </c>
      <c r="J208" s="7">
        <v>0</v>
      </c>
    </row>
    <row r="209" spans="1:10" x14ac:dyDescent="0.3">
      <c r="A209" s="1">
        <v>207</v>
      </c>
      <c r="B209" s="1">
        <v>212</v>
      </c>
      <c r="C209" s="1" t="s">
        <v>492</v>
      </c>
      <c r="D209" s="1" t="s">
        <v>297</v>
      </c>
      <c r="E209" s="5">
        <v>737874</v>
      </c>
      <c r="F209" s="7">
        <v>9</v>
      </c>
      <c r="G209" s="16">
        <v>20660460</v>
      </c>
      <c r="H209" s="1">
        <v>196</v>
      </c>
      <c r="I209" s="3">
        <v>0</v>
      </c>
      <c r="J209" s="7">
        <v>0</v>
      </c>
    </row>
    <row r="210" spans="1:10" x14ac:dyDescent="0.3">
      <c r="A210" s="1">
        <v>208</v>
      </c>
      <c r="B210" s="1">
        <v>197</v>
      </c>
      <c r="C210" s="1" t="s">
        <v>493</v>
      </c>
      <c r="D210" s="1" t="s">
        <v>468</v>
      </c>
      <c r="E210" s="5">
        <v>732903</v>
      </c>
      <c r="F210" s="7">
        <v>-21.7</v>
      </c>
      <c r="G210" s="16">
        <v>19788372</v>
      </c>
      <c r="H210" s="1">
        <v>199</v>
      </c>
      <c r="I210" s="3">
        <v>4964232</v>
      </c>
      <c r="J210" s="7">
        <v>-34</v>
      </c>
    </row>
    <row r="211" spans="1:10" x14ac:dyDescent="0.3">
      <c r="A211" s="1">
        <v>209</v>
      </c>
      <c r="B211" s="1">
        <v>217</v>
      </c>
      <c r="C211" s="1" t="s">
        <v>494</v>
      </c>
      <c r="D211" s="1" t="s">
        <v>280</v>
      </c>
      <c r="E211" s="5">
        <v>730541</v>
      </c>
      <c r="F211" s="7">
        <v>33.299999999999997</v>
      </c>
      <c r="G211" s="16">
        <v>18263535</v>
      </c>
      <c r="H211" s="1">
        <v>201</v>
      </c>
      <c r="I211" s="3">
        <v>0</v>
      </c>
      <c r="J211" s="7">
        <v>0</v>
      </c>
    </row>
    <row r="212" spans="1:10" x14ac:dyDescent="0.3">
      <c r="A212" s="1">
        <v>210</v>
      </c>
      <c r="B212" s="1">
        <v>166</v>
      </c>
      <c r="C212" s="1" t="s">
        <v>495</v>
      </c>
      <c r="D212" s="1" t="s">
        <v>280</v>
      </c>
      <c r="E212" s="5">
        <v>694316</v>
      </c>
      <c r="F212" s="7">
        <v>-33.200000000000003</v>
      </c>
      <c r="G212" s="16">
        <v>17357905</v>
      </c>
      <c r="H212" s="1">
        <v>202</v>
      </c>
      <c r="I212" s="3">
        <v>0</v>
      </c>
      <c r="J212" s="7">
        <v>0</v>
      </c>
    </row>
    <row r="213" spans="1:10" x14ac:dyDescent="0.3">
      <c r="A213" s="1">
        <v>211</v>
      </c>
      <c r="B213" s="1">
        <v>172</v>
      </c>
      <c r="C213" s="1" t="s">
        <v>496</v>
      </c>
      <c r="D213" s="1" t="s">
        <v>280</v>
      </c>
      <c r="E213" s="5">
        <v>654066</v>
      </c>
      <c r="F213" s="7">
        <v>-50.4</v>
      </c>
      <c r="G213" s="16">
        <v>16351650</v>
      </c>
      <c r="H213" s="1">
        <v>204</v>
      </c>
      <c r="I213" s="3">
        <v>0</v>
      </c>
      <c r="J213" s="7">
        <v>0</v>
      </c>
    </row>
    <row r="214" spans="1:10" x14ac:dyDescent="0.3">
      <c r="A214" s="1">
        <v>212</v>
      </c>
      <c r="B214" s="1">
        <v>210</v>
      </c>
      <c r="C214" s="1" t="s">
        <v>497</v>
      </c>
      <c r="D214" s="1" t="s">
        <v>468</v>
      </c>
      <c r="E214" s="5">
        <v>624677</v>
      </c>
      <c r="F214" s="7">
        <v>-8.1999999999999993</v>
      </c>
      <c r="G214" s="16">
        <v>16866279</v>
      </c>
      <c r="H214" s="1">
        <v>203</v>
      </c>
      <c r="I214" s="3">
        <v>3821844</v>
      </c>
      <c r="J214" s="7">
        <v>-22</v>
      </c>
    </row>
    <row r="215" spans="1:10" x14ac:dyDescent="0.3">
      <c r="A215" s="1">
        <v>213</v>
      </c>
      <c r="B215" s="1">
        <v>213</v>
      </c>
      <c r="C215" s="1" t="s">
        <v>498</v>
      </c>
      <c r="D215" s="1" t="s">
        <v>280</v>
      </c>
      <c r="E215" s="5">
        <v>603753</v>
      </c>
      <c r="F215" s="7">
        <v>-9.6</v>
      </c>
      <c r="G215" s="16">
        <v>15093830</v>
      </c>
      <c r="H215" s="1">
        <v>207</v>
      </c>
      <c r="I215" s="3">
        <v>0</v>
      </c>
      <c r="J215" s="7">
        <v>0</v>
      </c>
    </row>
    <row r="216" spans="1:10" x14ac:dyDescent="0.3">
      <c r="A216" s="1">
        <v>214</v>
      </c>
      <c r="B216" s="1">
        <v>252</v>
      </c>
      <c r="C216" s="1" t="s">
        <v>499</v>
      </c>
      <c r="D216" s="1" t="s">
        <v>500</v>
      </c>
      <c r="E216" s="5">
        <v>599552</v>
      </c>
      <c r="F216" s="7">
        <v>256.39999999999998</v>
      </c>
      <c r="G216" s="16">
        <v>16187908</v>
      </c>
      <c r="H216" s="1">
        <v>206</v>
      </c>
      <c r="I216" s="3">
        <v>1487096</v>
      </c>
      <c r="J216" s="7">
        <v>218</v>
      </c>
    </row>
    <row r="217" spans="1:10" x14ac:dyDescent="0.3">
      <c r="A217" s="1">
        <v>215</v>
      </c>
      <c r="B217" s="1" t="s">
        <v>597</v>
      </c>
      <c r="C217" s="1" t="s">
        <v>501</v>
      </c>
      <c r="D217" s="1" t="s">
        <v>462</v>
      </c>
      <c r="E217" s="5">
        <v>597647</v>
      </c>
      <c r="F217" s="7">
        <v>0</v>
      </c>
      <c r="G217" s="16">
        <v>20320000</v>
      </c>
      <c r="H217" s="1">
        <v>197</v>
      </c>
      <c r="I217" s="3">
        <v>0</v>
      </c>
      <c r="J217" s="7">
        <v>0</v>
      </c>
    </row>
    <row r="218" spans="1:10" x14ac:dyDescent="0.3">
      <c r="A218" s="1">
        <v>216</v>
      </c>
      <c r="B218" s="1" t="s">
        <v>597</v>
      </c>
      <c r="C218" s="1" t="s">
        <v>502</v>
      </c>
      <c r="D218" s="1" t="s">
        <v>297</v>
      </c>
      <c r="E218" s="5">
        <v>561341</v>
      </c>
      <c r="F218" s="7">
        <v>0</v>
      </c>
      <c r="G218" s="16">
        <v>14033520</v>
      </c>
      <c r="H218" s="1">
        <v>209</v>
      </c>
      <c r="I218" s="3">
        <v>0</v>
      </c>
      <c r="J218" s="7">
        <v>0</v>
      </c>
    </row>
    <row r="219" spans="1:10" x14ac:dyDescent="0.3">
      <c r="A219" s="1">
        <v>217</v>
      </c>
      <c r="B219" s="1">
        <v>222</v>
      </c>
      <c r="C219" s="1" t="s">
        <v>503</v>
      </c>
      <c r="D219" s="1" t="s">
        <v>280</v>
      </c>
      <c r="E219" s="5">
        <v>553440</v>
      </c>
      <c r="F219" s="7">
        <v>22.9</v>
      </c>
      <c r="G219" s="16">
        <v>13836011</v>
      </c>
      <c r="H219" s="1">
        <v>210</v>
      </c>
      <c r="I219" s="3">
        <v>0</v>
      </c>
      <c r="J219" s="7">
        <v>0</v>
      </c>
    </row>
    <row r="220" spans="1:10" x14ac:dyDescent="0.3">
      <c r="A220" s="1">
        <v>218</v>
      </c>
      <c r="B220" s="1">
        <v>219</v>
      </c>
      <c r="C220" s="1" t="s">
        <v>504</v>
      </c>
      <c r="D220" s="1" t="s">
        <v>280</v>
      </c>
      <c r="E220" s="5">
        <v>553440</v>
      </c>
      <c r="F220" s="7">
        <v>3.4</v>
      </c>
      <c r="G220" s="16">
        <v>13836011</v>
      </c>
      <c r="H220" s="1">
        <v>211</v>
      </c>
      <c r="I220" s="3">
        <v>0</v>
      </c>
      <c r="J220" s="7">
        <v>0</v>
      </c>
    </row>
    <row r="221" spans="1:10" x14ac:dyDescent="0.3">
      <c r="A221" s="1">
        <v>219</v>
      </c>
      <c r="B221" s="1">
        <v>211</v>
      </c>
      <c r="C221" s="1" t="s">
        <v>505</v>
      </c>
      <c r="D221" s="1" t="s">
        <v>468</v>
      </c>
      <c r="E221" s="5">
        <v>549612</v>
      </c>
      <c r="F221" s="7">
        <v>-18.5</v>
      </c>
      <c r="G221" s="16">
        <v>14839535</v>
      </c>
      <c r="H221" s="1">
        <v>208</v>
      </c>
      <c r="I221" s="3">
        <v>3489720</v>
      </c>
      <c r="J221" s="7">
        <v>-24</v>
      </c>
    </row>
    <row r="222" spans="1:10" x14ac:dyDescent="0.3">
      <c r="A222" s="1">
        <v>220</v>
      </c>
      <c r="B222" s="1">
        <v>209</v>
      </c>
      <c r="C222" s="1" t="s">
        <v>506</v>
      </c>
      <c r="D222" s="1" t="s">
        <v>468</v>
      </c>
      <c r="E222" s="5">
        <v>511563</v>
      </c>
      <c r="F222" s="7">
        <v>-26.3</v>
      </c>
      <c r="G222" s="16">
        <v>13812209</v>
      </c>
      <c r="H222" s="1">
        <v>212</v>
      </c>
      <c r="I222" s="3">
        <v>3573232</v>
      </c>
      <c r="J222" s="7">
        <v>-44</v>
      </c>
    </row>
    <row r="223" spans="1:10" x14ac:dyDescent="0.3">
      <c r="A223" s="1">
        <v>221</v>
      </c>
      <c r="B223" s="1">
        <v>214</v>
      </c>
      <c r="C223" s="1" t="s">
        <v>507</v>
      </c>
      <c r="D223" s="1" t="s">
        <v>468</v>
      </c>
      <c r="E223" s="5">
        <v>510336</v>
      </c>
      <c r="F223" s="7">
        <v>-22.2</v>
      </c>
      <c r="G223" s="16">
        <v>13779070</v>
      </c>
      <c r="H223" s="1">
        <v>213</v>
      </c>
      <c r="I223" s="3">
        <v>3407196</v>
      </c>
      <c r="J223" s="7">
        <v>-28</v>
      </c>
    </row>
    <row r="224" spans="1:10" x14ac:dyDescent="0.3">
      <c r="A224" s="1">
        <v>222</v>
      </c>
      <c r="B224" s="1">
        <v>206</v>
      </c>
      <c r="C224" s="1" t="s">
        <v>508</v>
      </c>
      <c r="D224" s="1" t="s">
        <v>468</v>
      </c>
      <c r="E224" s="5">
        <v>509001</v>
      </c>
      <c r="F224" s="7">
        <v>-35.6</v>
      </c>
      <c r="G224" s="16">
        <v>13743023</v>
      </c>
      <c r="H224" s="1">
        <v>214</v>
      </c>
      <c r="I224" s="3">
        <v>3733964</v>
      </c>
      <c r="J224" s="7">
        <v>-40</v>
      </c>
    </row>
    <row r="225" spans="1:10" x14ac:dyDescent="0.3">
      <c r="A225" s="1">
        <v>223</v>
      </c>
      <c r="B225" s="1">
        <v>216</v>
      </c>
      <c r="C225" s="1" t="s">
        <v>509</v>
      </c>
      <c r="D225" s="1" t="s">
        <v>468</v>
      </c>
      <c r="E225" s="5">
        <v>489449</v>
      </c>
      <c r="F225" s="7">
        <v>-13</v>
      </c>
      <c r="G225" s="16">
        <v>13215116</v>
      </c>
      <c r="H225" s="1">
        <v>215</v>
      </c>
      <c r="I225" s="3">
        <v>2902328</v>
      </c>
      <c r="J225" s="7">
        <v>-37</v>
      </c>
    </row>
    <row r="226" spans="1:10" x14ac:dyDescent="0.3">
      <c r="A226" s="1">
        <v>224</v>
      </c>
      <c r="B226" s="1">
        <v>190</v>
      </c>
      <c r="C226" s="1" t="s">
        <v>510</v>
      </c>
      <c r="D226" s="1" t="s">
        <v>468</v>
      </c>
      <c r="E226" s="5">
        <v>488544</v>
      </c>
      <c r="F226" s="7">
        <v>-52.4</v>
      </c>
      <c r="G226" s="16">
        <v>13190698</v>
      </c>
      <c r="H226" s="1">
        <v>216</v>
      </c>
      <c r="I226" s="3">
        <v>5193500</v>
      </c>
      <c r="J226" s="7">
        <v>-61</v>
      </c>
    </row>
    <row r="227" spans="1:10" x14ac:dyDescent="0.3">
      <c r="A227" s="1">
        <v>225</v>
      </c>
      <c r="B227" s="1" t="s">
        <v>597</v>
      </c>
      <c r="C227" s="1" t="s">
        <v>511</v>
      </c>
      <c r="D227" s="1" t="s">
        <v>462</v>
      </c>
      <c r="E227" s="5">
        <v>476471</v>
      </c>
      <c r="F227" s="7">
        <v>0</v>
      </c>
      <c r="G227" s="16">
        <v>16200000</v>
      </c>
      <c r="H227" s="1">
        <v>205</v>
      </c>
      <c r="I227" s="3">
        <v>0</v>
      </c>
      <c r="J227" s="7">
        <v>0</v>
      </c>
    </row>
    <row r="228" spans="1:10" x14ac:dyDescent="0.3">
      <c r="A228" s="1">
        <v>226</v>
      </c>
      <c r="B228" s="1">
        <v>220</v>
      </c>
      <c r="C228" s="1" t="s">
        <v>512</v>
      </c>
      <c r="D228" s="1" t="s">
        <v>468</v>
      </c>
      <c r="E228" s="5">
        <v>450474</v>
      </c>
      <c r="F228" s="7">
        <v>-11.2</v>
      </c>
      <c r="G228" s="16">
        <v>12162791</v>
      </c>
      <c r="H228" s="1">
        <v>219</v>
      </c>
      <c r="I228" s="3">
        <v>2536560</v>
      </c>
      <c r="J228" s="7">
        <v>-17</v>
      </c>
    </row>
    <row r="229" spans="1:10" x14ac:dyDescent="0.3">
      <c r="A229" s="1">
        <v>227</v>
      </c>
      <c r="B229" s="1">
        <v>224</v>
      </c>
      <c r="C229" s="1" t="s">
        <v>513</v>
      </c>
      <c r="D229" s="1" t="s">
        <v>468</v>
      </c>
      <c r="E229" s="5">
        <v>394488</v>
      </c>
      <c r="F229" s="7">
        <v>-1.1000000000000001</v>
      </c>
      <c r="G229" s="16">
        <v>10651163</v>
      </c>
      <c r="H229" s="1">
        <v>224</v>
      </c>
      <c r="I229" s="3">
        <v>2862704</v>
      </c>
      <c r="J229" s="7">
        <v>-47</v>
      </c>
    </row>
    <row r="230" spans="1:10" x14ac:dyDescent="0.3">
      <c r="A230" s="1">
        <v>228</v>
      </c>
      <c r="B230" s="1">
        <v>225</v>
      </c>
      <c r="C230" s="1" t="s">
        <v>514</v>
      </c>
      <c r="D230" s="1" t="s">
        <v>500</v>
      </c>
      <c r="E230" s="5">
        <v>385644</v>
      </c>
      <c r="F230" s="7">
        <v>-0.6</v>
      </c>
      <c r="G230" s="16">
        <v>10798041</v>
      </c>
      <c r="H230" s="1">
        <v>223</v>
      </c>
      <c r="I230" s="3">
        <v>1576016</v>
      </c>
      <c r="J230" s="7">
        <v>161</v>
      </c>
    </row>
    <row r="231" spans="1:10" x14ac:dyDescent="0.3">
      <c r="A231" s="1">
        <v>229</v>
      </c>
      <c r="B231" s="1" t="s">
        <v>597</v>
      </c>
      <c r="C231" s="1" t="s">
        <v>515</v>
      </c>
      <c r="D231" s="1" t="s">
        <v>462</v>
      </c>
      <c r="E231" s="5">
        <v>382353</v>
      </c>
      <c r="F231" s="7">
        <v>0</v>
      </c>
      <c r="G231" s="16">
        <v>13000000</v>
      </c>
      <c r="H231" s="1">
        <v>217</v>
      </c>
      <c r="I231" s="3">
        <v>0</v>
      </c>
      <c r="J231" s="7">
        <v>0</v>
      </c>
    </row>
    <row r="232" spans="1:10" x14ac:dyDescent="0.3">
      <c r="A232" s="1">
        <v>230</v>
      </c>
      <c r="B232" s="1">
        <v>248</v>
      </c>
      <c r="C232" s="1" t="s">
        <v>516</v>
      </c>
      <c r="D232" s="1" t="s">
        <v>500</v>
      </c>
      <c r="E232" s="5">
        <v>376546</v>
      </c>
      <c r="F232" s="7">
        <v>89.6</v>
      </c>
      <c r="G232" s="16">
        <v>10166740</v>
      </c>
      <c r="H232" s="1">
        <v>226</v>
      </c>
      <c r="I232" s="3">
        <v>994708</v>
      </c>
      <c r="J232" s="7">
        <v>187</v>
      </c>
    </row>
    <row r="233" spans="1:10" x14ac:dyDescent="0.3">
      <c r="A233" s="1">
        <v>231</v>
      </c>
      <c r="B233" s="1">
        <v>226</v>
      </c>
      <c r="C233" s="1" t="s">
        <v>517</v>
      </c>
      <c r="D233" s="1" t="s">
        <v>500</v>
      </c>
      <c r="E233" s="5">
        <v>340847</v>
      </c>
      <c r="F233" s="7">
        <v>-1.5</v>
      </c>
      <c r="G233" s="16">
        <v>9884571</v>
      </c>
      <c r="H233" s="1">
        <v>227</v>
      </c>
      <c r="I233" s="3">
        <v>2043392</v>
      </c>
      <c r="J233" s="7">
        <v>-6</v>
      </c>
    </row>
    <row r="234" spans="1:10" x14ac:dyDescent="0.3">
      <c r="A234" s="1">
        <v>232</v>
      </c>
      <c r="B234" s="1">
        <v>223</v>
      </c>
      <c r="C234" s="1" t="s">
        <v>518</v>
      </c>
      <c r="D234" s="1" t="s">
        <v>450</v>
      </c>
      <c r="E234" s="5">
        <v>253245</v>
      </c>
      <c r="F234" s="7">
        <v>-40.299999999999997</v>
      </c>
      <c r="G234" s="16">
        <v>6331113</v>
      </c>
      <c r="H234" s="1">
        <v>248</v>
      </c>
      <c r="I234" s="3">
        <v>1805232</v>
      </c>
      <c r="J234" s="7">
        <v>-34</v>
      </c>
    </row>
    <row r="235" spans="1:10" x14ac:dyDescent="0.3">
      <c r="A235" s="1">
        <v>233</v>
      </c>
      <c r="B235" s="1">
        <v>237</v>
      </c>
      <c r="C235" s="1" t="s">
        <v>519</v>
      </c>
      <c r="D235" s="1" t="s">
        <v>520</v>
      </c>
      <c r="E235" s="5">
        <v>250166</v>
      </c>
      <c r="F235" s="7">
        <v>17.899999999999999</v>
      </c>
      <c r="G235" s="16">
        <v>9506302</v>
      </c>
      <c r="H235" s="1">
        <v>230</v>
      </c>
      <c r="I235" s="3">
        <v>0</v>
      </c>
      <c r="J235" s="7">
        <v>0</v>
      </c>
    </row>
    <row r="236" spans="1:10" x14ac:dyDescent="0.3">
      <c r="A236" s="1">
        <v>234</v>
      </c>
      <c r="B236" s="1">
        <v>232</v>
      </c>
      <c r="C236" s="1" t="s">
        <v>521</v>
      </c>
      <c r="D236" s="1" t="s">
        <v>520</v>
      </c>
      <c r="E236" s="5">
        <v>240617</v>
      </c>
      <c r="F236" s="7">
        <v>10.4</v>
      </c>
      <c r="G236" s="16">
        <v>9143454</v>
      </c>
      <c r="H236" s="1">
        <v>235</v>
      </c>
      <c r="I236" s="3">
        <v>0</v>
      </c>
      <c r="J236" s="7">
        <v>0</v>
      </c>
    </row>
    <row r="237" spans="1:10" x14ac:dyDescent="0.3">
      <c r="A237" s="1">
        <v>235</v>
      </c>
      <c r="B237" s="1">
        <v>228</v>
      </c>
      <c r="C237" s="1" t="s">
        <v>522</v>
      </c>
      <c r="D237" s="1" t="s">
        <v>450</v>
      </c>
      <c r="E237" s="5">
        <v>239624</v>
      </c>
      <c r="F237" s="7">
        <v>3.1</v>
      </c>
      <c r="G237" s="16">
        <v>5990598</v>
      </c>
      <c r="H237" s="1">
        <v>251</v>
      </c>
      <c r="I237" s="3">
        <v>1241344</v>
      </c>
      <c r="J237" s="7">
        <v>-1</v>
      </c>
    </row>
    <row r="238" spans="1:10" x14ac:dyDescent="0.3">
      <c r="A238" s="1">
        <v>236</v>
      </c>
      <c r="B238" s="1">
        <v>227</v>
      </c>
      <c r="C238" s="1" t="s">
        <v>523</v>
      </c>
      <c r="D238" s="1" t="s">
        <v>520</v>
      </c>
      <c r="E238" s="5">
        <v>238939</v>
      </c>
      <c r="F238" s="7">
        <v>-0.3</v>
      </c>
      <c r="G238" s="16">
        <v>9557559</v>
      </c>
      <c r="H238" s="1">
        <v>228</v>
      </c>
      <c r="I238" s="3">
        <v>0</v>
      </c>
      <c r="J238" s="7">
        <v>0</v>
      </c>
    </row>
    <row r="239" spans="1:10" x14ac:dyDescent="0.3">
      <c r="A239" s="1">
        <v>237</v>
      </c>
      <c r="B239" s="1">
        <v>229</v>
      </c>
      <c r="C239" s="1" t="s">
        <v>524</v>
      </c>
      <c r="D239" s="1" t="s">
        <v>520</v>
      </c>
      <c r="E239" s="5">
        <v>230398</v>
      </c>
      <c r="F239" s="7">
        <v>0.1</v>
      </c>
      <c r="G239" s="16">
        <v>9215910</v>
      </c>
      <c r="H239" s="1">
        <v>231</v>
      </c>
      <c r="I239" s="3">
        <v>0</v>
      </c>
      <c r="J239" s="7">
        <v>0</v>
      </c>
    </row>
    <row r="240" spans="1:10" x14ac:dyDescent="0.3">
      <c r="A240" s="1">
        <v>238</v>
      </c>
      <c r="B240" s="1">
        <v>239</v>
      </c>
      <c r="C240" s="1" t="s">
        <v>525</v>
      </c>
      <c r="D240" s="1" t="s">
        <v>520</v>
      </c>
      <c r="E240" s="5">
        <v>229685</v>
      </c>
      <c r="F240" s="7">
        <v>8.8000000000000007</v>
      </c>
      <c r="G240" s="16">
        <v>9187380</v>
      </c>
      <c r="H240" s="1">
        <v>232</v>
      </c>
      <c r="I240" s="3">
        <v>0</v>
      </c>
      <c r="J240" s="7">
        <v>0</v>
      </c>
    </row>
    <row r="241" spans="1:10" x14ac:dyDescent="0.3">
      <c r="A241" s="1">
        <v>239</v>
      </c>
      <c r="B241" s="1">
        <v>234</v>
      </c>
      <c r="C241" s="1" t="s">
        <v>526</v>
      </c>
      <c r="D241" s="1" t="s">
        <v>520</v>
      </c>
      <c r="E241" s="5">
        <v>229473</v>
      </c>
      <c r="F241" s="7">
        <v>7.2</v>
      </c>
      <c r="G241" s="16">
        <v>9178916</v>
      </c>
      <c r="H241" s="1">
        <v>233</v>
      </c>
      <c r="I241" s="3">
        <v>0</v>
      </c>
      <c r="J241" s="7">
        <v>0</v>
      </c>
    </row>
    <row r="242" spans="1:10" x14ac:dyDescent="0.3">
      <c r="A242" s="1">
        <v>240</v>
      </c>
      <c r="B242" s="1">
        <v>233</v>
      </c>
      <c r="C242" s="1" t="s">
        <v>527</v>
      </c>
      <c r="D242" s="1" t="s">
        <v>520</v>
      </c>
      <c r="E242" s="5">
        <v>228950</v>
      </c>
      <c r="F242" s="7">
        <v>6.2</v>
      </c>
      <c r="G242" s="16">
        <v>9157994</v>
      </c>
      <c r="H242" s="1">
        <v>234</v>
      </c>
      <c r="I242" s="3">
        <v>0</v>
      </c>
      <c r="J242" s="7">
        <v>0</v>
      </c>
    </row>
    <row r="243" spans="1:10" x14ac:dyDescent="0.3">
      <c r="A243" s="1">
        <v>241</v>
      </c>
      <c r="B243" s="1">
        <v>242</v>
      </c>
      <c r="C243" s="1" t="s">
        <v>528</v>
      </c>
      <c r="D243" s="1" t="s">
        <v>520</v>
      </c>
      <c r="E243" s="5">
        <v>228500</v>
      </c>
      <c r="F243" s="7">
        <v>9.1</v>
      </c>
      <c r="G243" s="16">
        <v>9140013</v>
      </c>
      <c r="H243" s="1">
        <v>236</v>
      </c>
      <c r="I243" s="3">
        <v>0</v>
      </c>
      <c r="J243" s="7">
        <v>0</v>
      </c>
    </row>
    <row r="244" spans="1:10" x14ac:dyDescent="0.3">
      <c r="A244" s="1">
        <v>242</v>
      </c>
      <c r="B244" s="1">
        <v>235</v>
      </c>
      <c r="C244" s="1" t="s">
        <v>529</v>
      </c>
      <c r="D244" s="1" t="s">
        <v>520</v>
      </c>
      <c r="E244" s="5">
        <v>228024</v>
      </c>
      <c r="F244" s="7">
        <v>7.2</v>
      </c>
      <c r="G244" s="16">
        <v>9120956</v>
      </c>
      <c r="H244" s="1">
        <v>237</v>
      </c>
      <c r="I244" s="3">
        <v>0</v>
      </c>
      <c r="J244" s="7">
        <v>0</v>
      </c>
    </row>
    <row r="245" spans="1:10" x14ac:dyDescent="0.3">
      <c r="A245" s="1">
        <v>243</v>
      </c>
      <c r="B245" s="1">
        <v>236</v>
      </c>
      <c r="C245" s="1" t="s">
        <v>530</v>
      </c>
      <c r="D245" s="1" t="s">
        <v>520</v>
      </c>
      <c r="E245" s="5">
        <v>228013</v>
      </c>
      <c r="F245" s="7">
        <v>7.2</v>
      </c>
      <c r="G245" s="16">
        <v>9120516</v>
      </c>
      <c r="H245" s="1">
        <v>238</v>
      </c>
      <c r="I245" s="3">
        <v>0</v>
      </c>
      <c r="J245" s="7">
        <v>0</v>
      </c>
    </row>
    <row r="246" spans="1:10" x14ac:dyDescent="0.3">
      <c r="A246" s="1">
        <v>244</v>
      </c>
      <c r="B246" s="1">
        <v>238</v>
      </c>
      <c r="C246" s="1" t="s">
        <v>531</v>
      </c>
      <c r="D246" s="1" t="s">
        <v>520</v>
      </c>
      <c r="E246" s="5">
        <v>227995</v>
      </c>
      <c r="F246" s="7">
        <v>7.5</v>
      </c>
      <c r="G246" s="16">
        <v>9119798</v>
      </c>
      <c r="H246" s="1">
        <v>239</v>
      </c>
      <c r="I246" s="3">
        <v>0</v>
      </c>
      <c r="J246" s="7">
        <v>0</v>
      </c>
    </row>
    <row r="247" spans="1:10" x14ac:dyDescent="0.3">
      <c r="A247" s="1">
        <v>245</v>
      </c>
      <c r="B247" s="1">
        <v>231</v>
      </c>
      <c r="C247" s="1" t="s">
        <v>532</v>
      </c>
      <c r="D247" s="1" t="s">
        <v>520</v>
      </c>
      <c r="E247" s="5">
        <v>227646</v>
      </c>
      <c r="F247" s="7">
        <v>2.4</v>
      </c>
      <c r="G247" s="16">
        <v>9105835</v>
      </c>
      <c r="H247" s="1">
        <v>240</v>
      </c>
      <c r="I247" s="3">
        <v>0</v>
      </c>
      <c r="J247" s="7">
        <v>0</v>
      </c>
    </row>
    <row r="248" spans="1:10" x14ac:dyDescent="0.3">
      <c r="A248" s="1">
        <v>246</v>
      </c>
      <c r="B248" s="1">
        <v>241</v>
      </c>
      <c r="C248" s="1" t="s">
        <v>533</v>
      </c>
      <c r="D248" s="1" t="s">
        <v>520</v>
      </c>
      <c r="E248" s="5">
        <v>227535</v>
      </c>
      <c r="F248" s="7">
        <v>8.6999999999999993</v>
      </c>
      <c r="G248" s="16">
        <v>9101393</v>
      </c>
      <c r="H248" s="1">
        <v>241</v>
      </c>
      <c r="I248" s="3">
        <v>0</v>
      </c>
      <c r="J248" s="7">
        <v>0</v>
      </c>
    </row>
    <row r="249" spans="1:10" x14ac:dyDescent="0.3">
      <c r="A249" s="1">
        <v>247</v>
      </c>
      <c r="B249" s="1">
        <v>240</v>
      </c>
      <c r="C249" s="1" t="s">
        <v>534</v>
      </c>
      <c r="D249" s="1" t="s">
        <v>520</v>
      </c>
      <c r="E249" s="5">
        <v>226193</v>
      </c>
      <c r="F249" s="7">
        <v>8</v>
      </c>
      <c r="G249" s="16">
        <v>9047738</v>
      </c>
      <c r="H249" s="1">
        <v>242</v>
      </c>
      <c r="I249" s="3">
        <v>0</v>
      </c>
      <c r="J249" s="7">
        <v>0</v>
      </c>
    </row>
    <row r="250" spans="1:10" x14ac:dyDescent="0.3">
      <c r="A250" s="1">
        <v>248</v>
      </c>
      <c r="B250" s="1">
        <v>244</v>
      </c>
      <c r="C250" s="1" t="s">
        <v>535</v>
      </c>
      <c r="D250" s="1" t="s">
        <v>520</v>
      </c>
      <c r="E250" s="5">
        <v>224107</v>
      </c>
      <c r="F250" s="7">
        <v>8.1</v>
      </c>
      <c r="G250" s="16">
        <v>8964283</v>
      </c>
      <c r="H250" s="1">
        <v>243</v>
      </c>
      <c r="I250" s="3">
        <v>0</v>
      </c>
      <c r="J250" s="7">
        <v>0</v>
      </c>
    </row>
    <row r="251" spans="1:10" x14ac:dyDescent="0.3">
      <c r="A251" s="1">
        <v>249</v>
      </c>
      <c r="B251" s="1">
        <v>246</v>
      </c>
      <c r="C251" s="1" t="s">
        <v>536</v>
      </c>
      <c r="D251" s="1" t="s">
        <v>520</v>
      </c>
      <c r="E251" s="5">
        <v>215098</v>
      </c>
      <c r="F251" s="7">
        <v>5.7</v>
      </c>
      <c r="G251" s="16">
        <v>8603909</v>
      </c>
      <c r="H251" s="1">
        <v>244</v>
      </c>
      <c r="I251" s="3">
        <v>0</v>
      </c>
      <c r="J251" s="7">
        <v>0</v>
      </c>
    </row>
    <row r="252" spans="1:10" x14ac:dyDescent="0.3">
      <c r="A252" s="1">
        <v>250</v>
      </c>
      <c r="B252" s="1">
        <v>243</v>
      </c>
      <c r="C252" s="1" t="s">
        <v>537</v>
      </c>
      <c r="D252" s="1" t="s">
        <v>520</v>
      </c>
      <c r="E252" s="5">
        <v>212663</v>
      </c>
      <c r="F252" s="7">
        <v>2.2999999999999998</v>
      </c>
      <c r="G252" s="16">
        <v>8506534</v>
      </c>
      <c r="H252" s="1">
        <v>245</v>
      </c>
      <c r="I252" s="3">
        <v>0</v>
      </c>
      <c r="J252" s="7">
        <v>0</v>
      </c>
    </row>
    <row r="253" spans="1:10" x14ac:dyDescent="0.3">
      <c r="A253" s="1">
        <v>251</v>
      </c>
      <c r="B253" s="1">
        <v>245</v>
      </c>
      <c r="C253" s="1" t="s">
        <v>538</v>
      </c>
      <c r="D253" s="1" t="s">
        <v>520</v>
      </c>
      <c r="E253" s="5">
        <v>210229</v>
      </c>
      <c r="F253" s="7">
        <v>1.7</v>
      </c>
      <c r="G253" s="16">
        <v>8409159</v>
      </c>
      <c r="H253" s="1">
        <v>246</v>
      </c>
      <c r="I253" s="3">
        <v>0</v>
      </c>
      <c r="J253" s="7">
        <v>0</v>
      </c>
    </row>
    <row r="254" spans="1:10" x14ac:dyDescent="0.3">
      <c r="A254" s="1">
        <v>252</v>
      </c>
      <c r="B254" s="1">
        <v>230</v>
      </c>
      <c r="C254" s="1" t="s">
        <v>539</v>
      </c>
      <c r="D254" s="1" t="s">
        <v>450</v>
      </c>
      <c r="E254" s="5">
        <v>202669</v>
      </c>
      <c r="F254" s="7">
        <v>-9.6</v>
      </c>
      <c r="G254" s="16">
        <v>5066729</v>
      </c>
      <c r="H254" s="1">
        <v>257</v>
      </c>
      <c r="I254" s="3">
        <v>1356888</v>
      </c>
      <c r="J254" s="7">
        <v>15</v>
      </c>
    </row>
    <row r="255" spans="1:10" x14ac:dyDescent="0.3">
      <c r="A255" s="1">
        <v>253</v>
      </c>
      <c r="B255" s="1">
        <v>249</v>
      </c>
      <c r="C255" s="1" t="s">
        <v>540</v>
      </c>
      <c r="D255" s="1" t="s">
        <v>500</v>
      </c>
      <c r="E255" s="5">
        <v>199219</v>
      </c>
      <c r="F255" s="7">
        <v>5.5</v>
      </c>
      <c r="G255" s="16">
        <v>5179693</v>
      </c>
      <c r="H255" s="1">
        <v>256</v>
      </c>
      <c r="I255" s="3">
        <v>0</v>
      </c>
      <c r="J255" s="7">
        <v>0</v>
      </c>
    </row>
    <row r="256" spans="1:10" x14ac:dyDescent="0.3">
      <c r="A256" s="1">
        <v>254</v>
      </c>
      <c r="B256" s="1" t="s">
        <v>597</v>
      </c>
      <c r="C256" s="1" t="s">
        <v>541</v>
      </c>
      <c r="D256" s="1" t="s">
        <v>462</v>
      </c>
      <c r="E256" s="5">
        <v>191176</v>
      </c>
      <c r="F256" s="7">
        <v>0</v>
      </c>
      <c r="G256" s="16">
        <v>6500000</v>
      </c>
      <c r="H256" s="1">
        <v>247</v>
      </c>
      <c r="I256" s="3">
        <v>0</v>
      </c>
      <c r="J256" s="7">
        <v>0</v>
      </c>
    </row>
    <row r="257" spans="1:10" x14ac:dyDescent="0.3">
      <c r="A257" s="1">
        <v>255</v>
      </c>
      <c r="B257" s="1">
        <v>254</v>
      </c>
      <c r="C257" s="1" t="s">
        <v>542</v>
      </c>
      <c r="D257" s="1" t="s">
        <v>500</v>
      </c>
      <c r="E257" s="5">
        <v>181843</v>
      </c>
      <c r="F257" s="7">
        <v>13.4</v>
      </c>
      <c r="G257" s="16">
        <v>4727924</v>
      </c>
      <c r="H257" s="1">
        <v>261</v>
      </c>
      <c r="I257" s="3">
        <v>0</v>
      </c>
      <c r="J257" s="7">
        <v>0</v>
      </c>
    </row>
    <row r="258" spans="1:10" x14ac:dyDescent="0.3">
      <c r="A258" s="1">
        <v>256</v>
      </c>
      <c r="B258" s="1" t="s">
        <v>597</v>
      </c>
      <c r="C258" s="1" t="s">
        <v>543</v>
      </c>
      <c r="D258" s="1" t="s">
        <v>462</v>
      </c>
      <c r="E258" s="5">
        <v>170588</v>
      </c>
      <c r="F258" s="7">
        <v>0</v>
      </c>
      <c r="G258" s="16">
        <v>5800000</v>
      </c>
      <c r="H258" s="1">
        <v>252</v>
      </c>
      <c r="I258" s="3">
        <v>0</v>
      </c>
      <c r="J258" s="7">
        <v>0</v>
      </c>
    </row>
    <row r="259" spans="1:10" x14ac:dyDescent="0.3">
      <c r="A259" s="1">
        <v>257</v>
      </c>
      <c r="B259" s="1">
        <v>247</v>
      </c>
      <c r="C259" s="1" t="s">
        <v>544</v>
      </c>
      <c r="D259" s="1" t="s">
        <v>450</v>
      </c>
      <c r="E259" s="5">
        <v>167842</v>
      </c>
      <c r="F259" s="7">
        <v>-16.2</v>
      </c>
      <c r="G259" s="16">
        <v>4196057</v>
      </c>
      <c r="H259" s="1">
        <v>269</v>
      </c>
      <c r="I259" s="3">
        <v>872820</v>
      </c>
      <c r="J259" s="7">
        <v>31</v>
      </c>
    </row>
    <row r="260" spans="1:10" x14ac:dyDescent="0.3">
      <c r="A260" s="1">
        <v>258</v>
      </c>
      <c r="B260" s="1" t="s">
        <v>597</v>
      </c>
      <c r="C260" s="1" t="s">
        <v>545</v>
      </c>
      <c r="D260" s="1" t="s">
        <v>462</v>
      </c>
      <c r="E260" s="5">
        <v>167647</v>
      </c>
      <c r="F260" s="7">
        <v>0</v>
      </c>
      <c r="G260" s="16">
        <v>5700000</v>
      </c>
      <c r="H260" s="1">
        <v>253</v>
      </c>
      <c r="I260" s="3">
        <v>0</v>
      </c>
      <c r="J260" s="7">
        <v>0</v>
      </c>
    </row>
    <row r="261" spans="1:10" x14ac:dyDescent="0.3">
      <c r="A261" s="1">
        <v>259</v>
      </c>
      <c r="B261" s="1" t="s">
        <v>597</v>
      </c>
      <c r="C261" s="1" t="s">
        <v>546</v>
      </c>
      <c r="D261" s="1" t="s">
        <v>462</v>
      </c>
      <c r="E261" s="5">
        <v>164118</v>
      </c>
      <c r="F261" s="7">
        <v>0</v>
      </c>
      <c r="G261" s="16">
        <v>5580000</v>
      </c>
      <c r="H261" s="1">
        <v>254</v>
      </c>
      <c r="I261" s="3">
        <v>0</v>
      </c>
      <c r="J261" s="7">
        <v>0</v>
      </c>
    </row>
    <row r="262" spans="1:10" x14ac:dyDescent="0.3">
      <c r="A262" s="1">
        <v>260</v>
      </c>
      <c r="B262" s="1">
        <v>262</v>
      </c>
      <c r="C262" s="1" t="s">
        <v>547</v>
      </c>
      <c r="D262" s="1" t="s">
        <v>500</v>
      </c>
      <c r="E262" s="5">
        <v>163259</v>
      </c>
      <c r="F262" s="7">
        <v>32.799999999999997</v>
      </c>
      <c r="G262" s="16">
        <v>4244737</v>
      </c>
      <c r="H262" s="1">
        <v>265</v>
      </c>
      <c r="I262" s="3">
        <v>0</v>
      </c>
      <c r="J262" s="7">
        <v>0</v>
      </c>
    </row>
    <row r="263" spans="1:10" x14ac:dyDescent="0.3">
      <c r="A263" s="1">
        <v>261</v>
      </c>
      <c r="B263" s="1" t="s">
        <v>597</v>
      </c>
      <c r="C263" s="1" t="s">
        <v>548</v>
      </c>
      <c r="D263" s="1" t="s">
        <v>462</v>
      </c>
      <c r="E263" s="5">
        <v>159529</v>
      </c>
      <c r="F263" s="7">
        <v>0</v>
      </c>
      <c r="G263" s="16">
        <v>5424000</v>
      </c>
      <c r="H263" s="1">
        <v>255</v>
      </c>
      <c r="I263" s="3">
        <v>0</v>
      </c>
      <c r="J263" s="7">
        <v>0</v>
      </c>
    </row>
    <row r="264" spans="1:10" x14ac:dyDescent="0.3">
      <c r="A264" s="1">
        <v>262</v>
      </c>
      <c r="B264" s="1">
        <v>256</v>
      </c>
      <c r="C264" s="1" t="s">
        <v>549</v>
      </c>
      <c r="D264" s="1" t="s">
        <v>500</v>
      </c>
      <c r="E264" s="5">
        <v>157131</v>
      </c>
      <c r="F264" s="7">
        <v>5.0999999999999996</v>
      </c>
      <c r="G264" s="16">
        <v>4085412</v>
      </c>
      <c r="H264" s="1">
        <v>272</v>
      </c>
      <c r="I264" s="3">
        <v>897624</v>
      </c>
      <c r="J264" s="7">
        <v>-27</v>
      </c>
    </row>
    <row r="265" spans="1:10" x14ac:dyDescent="0.3">
      <c r="A265" s="1">
        <v>263</v>
      </c>
      <c r="B265" s="1">
        <v>251</v>
      </c>
      <c r="C265" s="1" t="s">
        <v>550</v>
      </c>
      <c r="D265" s="1" t="s">
        <v>450</v>
      </c>
      <c r="E265" s="5">
        <v>149893</v>
      </c>
      <c r="F265" s="7">
        <v>-17.600000000000001</v>
      </c>
      <c r="G265" s="16">
        <v>3747335</v>
      </c>
      <c r="H265" s="1">
        <v>275</v>
      </c>
      <c r="I265" s="3">
        <v>854672</v>
      </c>
      <c r="J265" s="7">
        <v>11</v>
      </c>
    </row>
    <row r="266" spans="1:10" x14ac:dyDescent="0.3">
      <c r="A266" s="1">
        <v>264</v>
      </c>
      <c r="B266" s="1" t="s">
        <v>597</v>
      </c>
      <c r="C266" s="1" t="s">
        <v>551</v>
      </c>
      <c r="D266" s="1" t="s">
        <v>462</v>
      </c>
      <c r="E266" s="5">
        <v>142353</v>
      </c>
      <c r="F266" s="7">
        <v>0</v>
      </c>
      <c r="G266" s="16">
        <v>4840000</v>
      </c>
      <c r="H266" s="1">
        <v>259</v>
      </c>
      <c r="I266" s="3">
        <v>0</v>
      </c>
      <c r="J266" s="7">
        <v>0</v>
      </c>
    </row>
    <row r="267" spans="1:10" x14ac:dyDescent="0.3">
      <c r="A267" s="1">
        <v>265</v>
      </c>
      <c r="B267" s="1">
        <v>268</v>
      </c>
      <c r="C267" s="1" t="s">
        <v>552</v>
      </c>
      <c r="D267" s="1" t="s">
        <v>500</v>
      </c>
      <c r="E267" s="5">
        <v>140586</v>
      </c>
      <c r="F267" s="7">
        <v>25.1</v>
      </c>
      <c r="G267" s="16">
        <v>3795819</v>
      </c>
      <c r="H267" s="1">
        <v>273</v>
      </c>
      <c r="I267" s="3">
        <v>570700</v>
      </c>
      <c r="J267" s="7">
        <v>53</v>
      </c>
    </row>
    <row r="268" spans="1:10" x14ac:dyDescent="0.3">
      <c r="A268" s="1">
        <v>266</v>
      </c>
      <c r="B268" s="1">
        <v>260</v>
      </c>
      <c r="C268" s="1" t="s">
        <v>553</v>
      </c>
      <c r="D268" s="1" t="s">
        <v>500</v>
      </c>
      <c r="E268" s="5">
        <v>134364</v>
      </c>
      <c r="F268" s="7">
        <v>1.6</v>
      </c>
      <c r="G268" s="16">
        <v>3762180</v>
      </c>
      <c r="H268" s="1">
        <v>274</v>
      </c>
      <c r="I268" s="3">
        <v>0</v>
      </c>
      <c r="J268" s="7">
        <v>0</v>
      </c>
    </row>
    <row r="269" spans="1:10" x14ac:dyDescent="0.3">
      <c r="A269" s="1">
        <v>267</v>
      </c>
      <c r="B269" s="1">
        <v>263</v>
      </c>
      <c r="C269" s="1" t="s">
        <v>554</v>
      </c>
      <c r="D269" s="1" t="s">
        <v>500</v>
      </c>
      <c r="E269" s="5">
        <v>133110</v>
      </c>
      <c r="F269" s="7">
        <v>9.5</v>
      </c>
      <c r="G269" s="16">
        <v>3593965</v>
      </c>
      <c r="H269" s="1">
        <v>277</v>
      </c>
      <c r="I269" s="3">
        <v>598364</v>
      </c>
      <c r="J269" s="7">
        <v>51</v>
      </c>
    </row>
    <row r="270" spans="1:10" x14ac:dyDescent="0.3">
      <c r="A270" s="1">
        <v>268</v>
      </c>
      <c r="B270" s="1">
        <v>259</v>
      </c>
      <c r="C270" s="1" t="s">
        <v>555</v>
      </c>
      <c r="D270" s="1" t="s">
        <v>500</v>
      </c>
      <c r="E270" s="5">
        <v>128203</v>
      </c>
      <c r="F270" s="7">
        <v>-5.0999999999999996</v>
      </c>
      <c r="G270" s="16">
        <v>3205068</v>
      </c>
      <c r="H270" s="1">
        <v>282</v>
      </c>
      <c r="I270" s="3">
        <v>623324</v>
      </c>
      <c r="J270" s="7">
        <v>27</v>
      </c>
    </row>
    <row r="271" spans="1:10" x14ac:dyDescent="0.3">
      <c r="A271" s="1">
        <v>269</v>
      </c>
      <c r="B271" s="1">
        <v>258</v>
      </c>
      <c r="C271" s="1" t="s">
        <v>556</v>
      </c>
      <c r="D271" s="1" t="s">
        <v>500</v>
      </c>
      <c r="E271" s="5">
        <v>126912</v>
      </c>
      <c r="F271" s="7">
        <v>-9</v>
      </c>
      <c r="G271" s="16">
        <v>3299713</v>
      </c>
      <c r="H271" s="1">
        <v>279</v>
      </c>
      <c r="I271" s="3">
        <v>631592</v>
      </c>
      <c r="J271" s="7">
        <v>12</v>
      </c>
    </row>
    <row r="272" spans="1:10" x14ac:dyDescent="0.3">
      <c r="A272" s="1">
        <v>270</v>
      </c>
      <c r="B272" s="1">
        <v>257</v>
      </c>
      <c r="C272" s="1" t="s">
        <v>557</v>
      </c>
      <c r="D272" s="1" t="s">
        <v>500</v>
      </c>
      <c r="E272" s="5">
        <v>123142</v>
      </c>
      <c r="F272" s="7">
        <v>-13</v>
      </c>
      <c r="G272" s="16">
        <v>3694248</v>
      </c>
      <c r="H272" s="1">
        <v>276</v>
      </c>
      <c r="I272" s="3">
        <v>626600</v>
      </c>
      <c r="J272" s="7">
        <v>19</v>
      </c>
    </row>
    <row r="273" spans="1:10" x14ac:dyDescent="0.3">
      <c r="A273" s="1">
        <v>271</v>
      </c>
      <c r="B273" s="1" t="s">
        <v>597</v>
      </c>
      <c r="C273" s="1" t="s">
        <v>558</v>
      </c>
      <c r="D273" s="1" t="s">
        <v>462</v>
      </c>
      <c r="E273" s="5">
        <v>122353</v>
      </c>
      <c r="F273" s="7">
        <v>0</v>
      </c>
      <c r="G273" s="16">
        <v>4160000</v>
      </c>
      <c r="H273" s="1">
        <v>271</v>
      </c>
      <c r="I273" s="3">
        <v>0</v>
      </c>
      <c r="J273" s="7">
        <v>0</v>
      </c>
    </row>
    <row r="274" spans="1:10" x14ac:dyDescent="0.3">
      <c r="A274" s="1">
        <v>272</v>
      </c>
      <c r="B274" s="1">
        <v>255</v>
      </c>
      <c r="C274" s="1" t="s">
        <v>559</v>
      </c>
      <c r="D274" s="1" t="s">
        <v>450</v>
      </c>
      <c r="E274" s="5">
        <v>121094</v>
      </c>
      <c r="F274" s="7">
        <v>-21.2</v>
      </c>
      <c r="G274" s="16">
        <v>3027357</v>
      </c>
      <c r="H274" s="1">
        <v>285</v>
      </c>
      <c r="I274" s="3">
        <v>0</v>
      </c>
      <c r="J274" s="7">
        <v>0</v>
      </c>
    </row>
    <row r="275" spans="1:10" x14ac:dyDescent="0.3">
      <c r="A275" s="1">
        <v>273</v>
      </c>
      <c r="B275" s="1">
        <v>250</v>
      </c>
      <c r="C275" s="1" t="s">
        <v>560</v>
      </c>
      <c r="D275" s="1" t="s">
        <v>450</v>
      </c>
      <c r="E275" s="5">
        <v>120329</v>
      </c>
      <c r="F275" s="7">
        <v>-34.5</v>
      </c>
      <c r="G275" s="16">
        <v>3008214</v>
      </c>
      <c r="H275" s="1">
        <v>286</v>
      </c>
      <c r="I275" s="3">
        <v>800904</v>
      </c>
      <c r="J275" s="7">
        <v>-17</v>
      </c>
    </row>
    <row r="276" spans="1:10" x14ac:dyDescent="0.3">
      <c r="A276" s="1">
        <v>274</v>
      </c>
      <c r="B276" s="1">
        <v>253</v>
      </c>
      <c r="C276" s="1" t="s">
        <v>561</v>
      </c>
      <c r="D276" s="1" t="s">
        <v>450</v>
      </c>
      <c r="E276" s="5">
        <v>120092</v>
      </c>
      <c r="F276" s="7">
        <v>-25.2</v>
      </c>
      <c r="G276" s="16">
        <v>3002301</v>
      </c>
      <c r="H276" s="1">
        <v>287</v>
      </c>
      <c r="I276" s="3">
        <v>668876</v>
      </c>
      <c r="J276" s="7">
        <v>33</v>
      </c>
    </row>
    <row r="277" spans="1:10" x14ac:dyDescent="0.3">
      <c r="A277" s="1">
        <v>275</v>
      </c>
      <c r="B277" s="1">
        <v>273</v>
      </c>
      <c r="C277" s="1" t="s">
        <v>562</v>
      </c>
      <c r="D277" s="1" t="s">
        <v>563</v>
      </c>
      <c r="E277" s="5">
        <v>119221</v>
      </c>
      <c r="F277" s="7">
        <v>14</v>
      </c>
      <c r="G277" s="16">
        <v>5007297</v>
      </c>
      <c r="H277" s="1">
        <v>258</v>
      </c>
      <c r="I277" s="3">
        <v>0</v>
      </c>
      <c r="J277" s="7">
        <v>0</v>
      </c>
    </row>
    <row r="278" spans="1:10" x14ac:dyDescent="0.3">
      <c r="A278" s="1">
        <v>276</v>
      </c>
      <c r="B278" s="1">
        <v>267</v>
      </c>
      <c r="C278" s="1" t="s">
        <v>564</v>
      </c>
      <c r="D278" s="1" t="s">
        <v>500</v>
      </c>
      <c r="E278" s="5">
        <v>115669</v>
      </c>
      <c r="F278" s="7">
        <v>-0.5</v>
      </c>
      <c r="G278" s="16">
        <v>3123066</v>
      </c>
      <c r="H278" s="1">
        <v>283</v>
      </c>
      <c r="I278" s="3">
        <v>564980</v>
      </c>
      <c r="J278" s="7">
        <v>19</v>
      </c>
    </row>
    <row r="279" spans="1:10" x14ac:dyDescent="0.3">
      <c r="A279" s="1">
        <v>277</v>
      </c>
      <c r="B279" s="1">
        <v>261</v>
      </c>
      <c r="C279" s="1" t="s">
        <v>565</v>
      </c>
      <c r="D279" s="1" t="s">
        <v>500</v>
      </c>
      <c r="E279" s="5">
        <v>115191</v>
      </c>
      <c r="F279" s="7">
        <v>-8.6999999999999993</v>
      </c>
      <c r="G279" s="16">
        <v>3225356</v>
      </c>
      <c r="H279" s="1">
        <v>281</v>
      </c>
      <c r="I279" s="3">
        <v>562328</v>
      </c>
      <c r="J279" s="7">
        <v>33</v>
      </c>
    </row>
    <row r="280" spans="1:10" x14ac:dyDescent="0.3">
      <c r="A280" s="1">
        <v>278</v>
      </c>
      <c r="B280" s="1">
        <v>269</v>
      </c>
      <c r="C280" s="1" t="s">
        <v>566</v>
      </c>
      <c r="D280" s="1" t="s">
        <v>563</v>
      </c>
      <c r="E280" s="5">
        <v>113462</v>
      </c>
      <c r="F280" s="7">
        <v>6.1</v>
      </c>
      <c r="G280" s="16">
        <v>4765413</v>
      </c>
      <c r="H280" s="1">
        <v>260</v>
      </c>
      <c r="I280" s="3">
        <v>0</v>
      </c>
      <c r="J280" s="7">
        <v>0</v>
      </c>
    </row>
    <row r="281" spans="1:10" x14ac:dyDescent="0.3">
      <c r="A281" s="1">
        <v>279</v>
      </c>
      <c r="B281" s="1">
        <v>275</v>
      </c>
      <c r="C281" s="1" t="s">
        <v>567</v>
      </c>
      <c r="D281" s="1" t="s">
        <v>563</v>
      </c>
      <c r="E281" s="5">
        <v>110543</v>
      </c>
      <c r="F281" s="7">
        <v>15</v>
      </c>
      <c r="G281" s="16">
        <v>4642800</v>
      </c>
      <c r="H281" s="1">
        <v>262</v>
      </c>
      <c r="I281" s="3">
        <v>289588</v>
      </c>
      <c r="J281" s="7">
        <v>0</v>
      </c>
    </row>
    <row r="282" spans="1:10" x14ac:dyDescent="0.3">
      <c r="A282" s="1">
        <v>280</v>
      </c>
      <c r="B282" s="1">
        <v>271</v>
      </c>
      <c r="C282" s="1" t="s">
        <v>568</v>
      </c>
      <c r="D282" s="1" t="s">
        <v>563</v>
      </c>
      <c r="E282" s="5">
        <v>108502</v>
      </c>
      <c r="F282" s="7">
        <v>3.7</v>
      </c>
      <c r="G282" s="16">
        <v>4557084</v>
      </c>
      <c r="H282" s="1">
        <v>263</v>
      </c>
      <c r="I282" s="3">
        <v>0</v>
      </c>
      <c r="J282" s="7">
        <v>0</v>
      </c>
    </row>
    <row r="283" spans="1:10" x14ac:dyDescent="0.3">
      <c r="A283" s="1">
        <v>281</v>
      </c>
      <c r="B283" s="1">
        <v>265</v>
      </c>
      <c r="C283" s="1" t="s">
        <v>569</v>
      </c>
      <c r="D283" s="1" t="s">
        <v>500</v>
      </c>
      <c r="E283" s="5">
        <v>108369</v>
      </c>
      <c r="F283" s="7">
        <v>-9.6</v>
      </c>
      <c r="G283" s="16">
        <v>3034331</v>
      </c>
      <c r="H283" s="1">
        <v>284</v>
      </c>
      <c r="I283" s="3">
        <v>1024660</v>
      </c>
      <c r="J283" s="7">
        <v>-2</v>
      </c>
    </row>
    <row r="284" spans="1:10" x14ac:dyDescent="0.3">
      <c r="A284" s="1">
        <v>282</v>
      </c>
      <c r="B284" s="1">
        <v>276</v>
      </c>
      <c r="C284" s="1" t="s">
        <v>570</v>
      </c>
      <c r="D284" s="1" t="s">
        <v>500</v>
      </c>
      <c r="E284" s="5">
        <v>106512</v>
      </c>
      <c r="F284" s="7">
        <v>14.4</v>
      </c>
      <c r="G284" s="16">
        <v>2875829</v>
      </c>
      <c r="H284" s="1">
        <v>289</v>
      </c>
      <c r="I284" s="3">
        <v>548392</v>
      </c>
      <c r="J284" s="7">
        <v>30</v>
      </c>
    </row>
    <row r="285" spans="1:10" x14ac:dyDescent="0.3">
      <c r="A285" s="1">
        <v>283</v>
      </c>
      <c r="B285" s="1" t="s">
        <v>597</v>
      </c>
      <c r="C285" s="1" t="s">
        <v>571</v>
      </c>
      <c r="D285" s="1" t="s">
        <v>462</v>
      </c>
      <c r="E285" s="5">
        <v>102941</v>
      </c>
      <c r="F285" s="7">
        <v>0</v>
      </c>
      <c r="G285" s="16">
        <v>3500000</v>
      </c>
      <c r="H285" s="1">
        <v>278</v>
      </c>
      <c r="I285" s="3">
        <v>0</v>
      </c>
      <c r="J285" s="7">
        <v>0</v>
      </c>
    </row>
    <row r="286" spans="1:10" x14ac:dyDescent="0.3">
      <c r="A286" s="1">
        <v>284</v>
      </c>
      <c r="B286" s="1">
        <v>266</v>
      </c>
      <c r="C286" s="1" t="s">
        <v>572</v>
      </c>
      <c r="D286" s="1" t="s">
        <v>563</v>
      </c>
      <c r="E286" s="5">
        <v>102900</v>
      </c>
      <c r="F286" s="7">
        <v>-12.2</v>
      </c>
      <c r="G286" s="16">
        <v>4321794</v>
      </c>
      <c r="H286" s="1">
        <v>264</v>
      </c>
      <c r="I286" s="3">
        <v>0</v>
      </c>
      <c r="J286" s="7">
        <v>0</v>
      </c>
    </row>
    <row r="287" spans="1:10" x14ac:dyDescent="0.3">
      <c r="A287" s="1">
        <v>285</v>
      </c>
      <c r="B287" s="1">
        <v>270</v>
      </c>
      <c r="C287" s="1" t="s">
        <v>573</v>
      </c>
      <c r="D287" s="1" t="s">
        <v>563</v>
      </c>
      <c r="E287" s="5">
        <v>101019</v>
      </c>
      <c r="F287" s="7">
        <v>-3.6</v>
      </c>
      <c r="G287" s="16">
        <v>4242807</v>
      </c>
      <c r="H287" s="1">
        <v>266</v>
      </c>
      <c r="I287" s="3">
        <v>0</v>
      </c>
      <c r="J287" s="7">
        <v>0</v>
      </c>
    </row>
    <row r="288" spans="1:10" x14ac:dyDescent="0.3">
      <c r="A288" s="1">
        <v>286</v>
      </c>
      <c r="B288" s="1">
        <v>274</v>
      </c>
      <c r="C288" s="1" t="s">
        <v>574</v>
      </c>
      <c r="D288" s="1" t="s">
        <v>563</v>
      </c>
      <c r="E288" s="5">
        <v>100981</v>
      </c>
      <c r="F288" s="7">
        <v>0.9</v>
      </c>
      <c r="G288" s="16">
        <v>4241181</v>
      </c>
      <c r="H288" s="1">
        <v>267</v>
      </c>
      <c r="I288" s="3">
        <v>0</v>
      </c>
      <c r="J288" s="7">
        <v>0</v>
      </c>
    </row>
    <row r="289" spans="1:10" x14ac:dyDescent="0.3">
      <c r="A289" s="1">
        <v>287</v>
      </c>
      <c r="B289" s="1">
        <v>272</v>
      </c>
      <c r="C289" s="1" t="s">
        <v>575</v>
      </c>
      <c r="D289" s="1" t="s">
        <v>563</v>
      </c>
      <c r="E289" s="5">
        <v>99300</v>
      </c>
      <c r="F289" s="7">
        <v>-5</v>
      </c>
      <c r="G289" s="16">
        <v>4170594</v>
      </c>
      <c r="H289" s="1">
        <v>270</v>
      </c>
      <c r="I289" s="3">
        <v>307892</v>
      </c>
      <c r="J289" s="7">
        <v>0</v>
      </c>
    </row>
    <row r="290" spans="1:10" x14ac:dyDescent="0.3">
      <c r="A290" s="1">
        <v>288</v>
      </c>
      <c r="B290" s="1" t="s">
        <v>597</v>
      </c>
      <c r="C290" s="1" t="s">
        <v>576</v>
      </c>
      <c r="D290" s="1" t="s">
        <v>462</v>
      </c>
      <c r="E290" s="5">
        <v>96471</v>
      </c>
      <c r="F290" s="7">
        <v>0</v>
      </c>
      <c r="G290" s="16">
        <v>3280000</v>
      </c>
      <c r="H290" s="1">
        <v>280</v>
      </c>
      <c r="I290" s="3">
        <v>0</v>
      </c>
      <c r="J290" s="7">
        <v>0</v>
      </c>
    </row>
    <row r="291" spans="1:10" x14ac:dyDescent="0.3">
      <c r="A291" s="1">
        <v>289</v>
      </c>
      <c r="B291" s="1">
        <v>264</v>
      </c>
      <c r="C291" s="1" t="s">
        <v>577</v>
      </c>
      <c r="D291" s="1" t="s">
        <v>500</v>
      </c>
      <c r="E291" s="5">
        <v>93440</v>
      </c>
      <c r="F291" s="7">
        <v>-22.5</v>
      </c>
      <c r="G291" s="16">
        <v>2896635</v>
      </c>
      <c r="H291" s="1">
        <v>288</v>
      </c>
      <c r="I291" s="3">
        <v>541684</v>
      </c>
      <c r="J291" s="7">
        <v>-20</v>
      </c>
    </row>
    <row r="292" spans="1:10" x14ac:dyDescent="0.3">
      <c r="A292" s="1">
        <v>290</v>
      </c>
      <c r="B292" s="1" t="s">
        <v>597</v>
      </c>
      <c r="C292" s="1" t="s">
        <v>578</v>
      </c>
      <c r="D292" s="1" t="s">
        <v>462</v>
      </c>
      <c r="E292" s="5">
        <v>83529</v>
      </c>
      <c r="F292" s="7">
        <v>0</v>
      </c>
      <c r="G292" s="16">
        <v>2840000</v>
      </c>
      <c r="H292" s="1">
        <v>290</v>
      </c>
      <c r="I292" s="3">
        <v>0</v>
      </c>
      <c r="J292" s="7">
        <v>0</v>
      </c>
    </row>
    <row r="293" spans="1:10" x14ac:dyDescent="0.3">
      <c r="A293" s="1">
        <v>291</v>
      </c>
      <c r="B293" s="1">
        <v>278</v>
      </c>
      <c r="C293" s="1" t="s">
        <v>579</v>
      </c>
      <c r="D293" s="1" t="s">
        <v>450</v>
      </c>
      <c r="E293" s="5">
        <v>80847</v>
      </c>
      <c r="F293" s="7">
        <v>6</v>
      </c>
      <c r="G293" s="16">
        <v>2021164</v>
      </c>
      <c r="H293" s="1">
        <v>291</v>
      </c>
      <c r="I293" s="3">
        <v>381264</v>
      </c>
      <c r="J293" s="7">
        <v>23</v>
      </c>
    </row>
    <row r="294" spans="1:10" x14ac:dyDescent="0.3">
      <c r="A294" s="1">
        <v>292</v>
      </c>
      <c r="B294" s="1" t="s">
        <v>597</v>
      </c>
      <c r="C294" s="1" t="s">
        <v>580</v>
      </c>
      <c r="D294" s="1" t="s">
        <v>450</v>
      </c>
      <c r="E294" s="5">
        <v>71572</v>
      </c>
      <c r="F294" s="7">
        <v>0</v>
      </c>
      <c r="G294" s="16">
        <v>1789307</v>
      </c>
      <c r="H294" s="1">
        <v>292</v>
      </c>
      <c r="I294" s="3">
        <v>0</v>
      </c>
      <c r="J294" s="7">
        <v>0</v>
      </c>
    </row>
    <row r="295" spans="1:10" x14ac:dyDescent="0.3">
      <c r="A295" s="1">
        <v>293</v>
      </c>
      <c r="B295" s="1" t="s">
        <v>597</v>
      </c>
      <c r="C295" s="1" t="s">
        <v>581</v>
      </c>
      <c r="D295" s="1" t="s">
        <v>450</v>
      </c>
      <c r="E295" s="5">
        <v>59114</v>
      </c>
      <c r="F295" s="7">
        <v>0</v>
      </c>
      <c r="G295" s="16">
        <v>1477850</v>
      </c>
      <c r="H295" s="1">
        <v>293</v>
      </c>
      <c r="I295" s="3">
        <v>0</v>
      </c>
      <c r="J295" s="7">
        <v>0</v>
      </c>
    </row>
    <row r="296" spans="1:10" x14ac:dyDescent="0.3">
      <c r="A296" s="1">
        <v>294</v>
      </c>
      <c r="B296" s="1" t="s">
        <v>597</v>
      </c>
      <c r="C296" s="1" t="s">
        <v>582</v>
      </c>
      <c r="D296" s="1" t="s">
        <v>462</v>
      </c>
      <c r="E296" s="5">
        <v>42353</v>
      </c>
      <c r="F296" s="7">
        <v>0</v>
      </c>
      <c r="G296" s="16">
        <v>1440000</v>
      </c>
      <c r="H296" s="1">
        <v>294</v>
      </c>
      <c r="I296" s="3">
        <v>0</v>
      </c>
      <c r="J296" s="7">
        <v>0</v>
      </c>
    </row>
  </sheetData>
  <mergeCells count="1">
    <mergeCell ref="L3:O3"/>
  </mergeCells>
  <pageMargins left="0.75" right="0.75" top="1" bottom="1" header="0.5" footer="0.5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Salários</vt:lpstr>
      <vt:lpstr>Analises</vt:lpstr>
      <vt:lpstr>Folhas_de_pagamento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 Davidson</dc:creator>
  <cp:lastModifiedBy>Bernardo de Moura e Silva</cp:lastModifiedBy>
  <dcterms:created xsi:type="dcterms:W3CDTF">2014-12-16T00:36:52Z</dcterms:created>
  <dcterms:modified xsi:type="dcterms:W3CDTF">2026-06-24T01:12:28Z</dcterms:modified>
</cp:coreProperties>
</file>